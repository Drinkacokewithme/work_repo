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cep-my.sharepoint.com/personal/renzie_reyes_ccep_com/Documents/"/>
    </mc:Choice>
  </mc:AlternateContent>
  <xr:revisionPtr revIDLastSave="2564" documentId="8_{62459260-7B38-4420-9478-41C39696A5C1}" xr6:coauthVersionLast="47" xr6:coauthVersionMax="47" xr10:uidLastSave="{04A6D6D5-E7A0-4959-8B9C-D4CB6A91E425}"/>
  <bookViews>
    <workbookView xWindow="-120" yWindow="-120" windowWidth="29040" windowHeight="17520" activeTab="3" xr2:uid="{E9731344-8191-41AF-960F-88B43C585298}"/>
  </bookViews>
  <sheets>
    <sheet name="Aneen's copy" sheetId="7" r:id="rId1"/>
    <sheet name="Outbound" sheetId="4" r:id="rId2"/>
    <sheet name="Sheet2" sheetId="2" r:id="rId3"/>
    <sheet name="Working File" sheetId="3" r:id="rId4"/>
    <sheet name="Power BI" sheetId="8" r:id="rId5"/>
    <sheet name="Working File (2)" sheetId="9"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 l="1"/>
  <c r="Y8" i="8"/>
  <c r="C3" i="4" l="1"/>
  <c r="E3" i="4"/>
  <c r="AF34" i="3"/>
  <c r="AG34" i="3"/>
  <c r="F9" i="2" l="1"/>
  <c r="AB68" i="3"/>
  <c r="AE68" i="3" s="1"/>
  <c r="W68" i="3"/>
  <c r="X68" i="3"/>
  <c r="Y68" i="3"/>
  <c r="Z68" i="3"/>
  <c r="AA68" i="3"/>
  <c r="AD68" i="9"/>
  <c r="AB68" i="9"/>
  <c r="AC68" i="9" s="1"/>
  <c r="AB67" i="9"/>
  <c r="Z67" i="9"/>
  <c r="Y67" i="9"/>
  <c r="X67" i="9"/>
  <c r="W67" i="9"/>
  <c r="V67" i="9"/>
  <c r="AB66" i="9"/>
  <c r="Z66" i="9"/>
  <c r="Y66" i="9"/>
  <c r="X66" i="9"/>
  <c r="W66" i="9"/>
  <c r="V66" i="9"/>
  <c r="AB65" i="9"/>
  <c r="Z65" i="9"/>
  <c r="AC65" i="9" s="1"/>
  <c r="Y65" i="9"/>
  <c r="X65" i="9"/>
  <c r="W65" i="9"/>
  <c r="V65" i="9"/>
  <c r="AB64" i="9"/>
  <c r="Z64" i="9"/>
  <c r="Y64" i="9"/>
  <c r="X64" i="9"/>
  <c r="W64" i="9"/>
  <c r="V64" i="9"/>
  <c r="AB63" i="9"/>
  <c r="Z63" i="9"/>
  <c r="Y63" i="9"/>
  <c r="X63" i="9"/>
  <c r="W63" i="9"/>
  <c r="V63" i="9"/>
  <c r="AB62" i="9"/>
  <c r="Z62" i="9"/>
  <c r="Y62" i="9"/>
  <c r="X62" i="9"/>
  <c r="W62" i="9"/>
  <c r="V62" i="9"/>
  <c r="Z61" i="9"/>
  <c r="Y61" i="9"/>
  <c r="X61" i="9"/>
  <c r="W61" i="9"/>
  <c r="V61" i="9"/>
  <c r="AG41" i="9"/>
  <c r="AF41" i="9"/>
  <c r="Z41" i="9" s="1"/>
  <c r="AE41" i="9"/>
  <c r="AD41" i="9"/>
  <c r="X41" i="9" s="1"/>
  <c r="M12" i="9" s="1"/>
  <c r="AC41" i="9"/>
  <c r="I12" i="9" s="1"/>
  <c r="H12" i="9" s="1"/>
  <c r="AB41" i="9"/>
  <c r="G12" i="9" s="1"/>
  <c r="AA41" i="9"/>
  <c r="E12" i="9" s="1"/>
  <c r="Y41" i="9"/>
  <c r="W41" i="9"/>
  <c r="AG40" i="9"/>
  <c r="AF40" i="9"/>
  <c r="AH40" i="9" s="1"/>
  <c r="P11" i="9" s="1"/>
  <c r="AE40" i="9"/>
  <c r="AD40" i="9"/>
  <c r="X40" i="9" s="1"/>
  <c r="M11" i="9" s="1"/>
  <c r="AC40" i="9"/>
  <c r="I11" i="9" s="1"/>
  <c r="H11" i="9" s="1"/>
  <c r="AB40" i="9"/>
  <c r="F11" i="9" s="1"/>
  <c r="AA40" i="9"/>
  <c r="D11" i="9" s="1"/>
  <c r="Y40" i="9"/>
  <c r="W40" i="9"/>
  <c r="AG39" i="9"/>
  <c r="AF39" i="9"/>
  <c r="Z39" i="9" s="1"/>
  <c r="AE39" i="9"/>
  <c r="AD39" i="9"/>
  <c r="X39" i="9" s="1"/>
  <c r="M10" i="9" s="1"/>
  <c r="AC39" i="9"/>
  <c r="I10" i="9" s="1"/>
  <c r="H10" i="9" s="1"/>
  <c r="AB39" i="9"/>
  <c r="G10" i="9" s="1"/>
  <c r="AA39" i="9"/>
  <c r="E10" i="9" s="1"/>
  <c r="Y39" i="9"/>
  <c r="W39" i="9"/>
  <c r="AG38" i="9"/>
  <c r="AF38" i="9"/>
  <c r="Z38" i="9" s="1"/>
  <c r="AE38" i="9"/>
  <c r="AD38" i="9"/>
  <c r="X38" i="9" s="1"/>
  <c r="AC38" i="9"/>
  <c r="I8" i="9" s="1"/>
  <c r="H8" i="9" s="1"/>
  <c r="AB38" i="9"/>
  <c r="G8" i="9" s="1"/>
  <c r="AA38" i="9"/>
  <c r="D8" i="9" s="1"/>
  <c r="Y38" i="9"/>
  <c r="W38" i="9"/>
  <c r="AG37" i="9"/>
  <c r="AF37" i="9"/>
  <c r="Z37" i="9" s="1"/>
  <c r="Z50" i="9" s="1"/>
  <c r="AE37" i="9"/>
  <c r="AD37" i="9"/>
  <c r="X37" i="9" s="1"/>
  <c r="X50" i="9" s="1"/>
  <c r="AC37" i="9"/>
  <c r="I7" i="9" s="1"/>
  <c r="H7" i="9" s="1"/>
  <c r="AB37" i="9"/>
  <c r="G7" i="9" s="1"/>
  <c r="AA37" i="9"/>
  <c r="D7" i="9" s="1"/>
  <c r="Y37" i="9"/>
  <c r="W37" i="9"/>
  <c r="AG36" i="9"/>
  <c r="AF36" i="9"/>
  <c r="Z36" i="9" s="1"/>
  <c r="AE36" i="9"/>
  <c r="AD36" i="9"/>
  <c r="X36" i="9" s="1"/>
  <c r="M6" i="9" s="1"/>
  <c r="AC36" i="9"/>
  <c r="I6" i="9" s="1"/>
  <c r="H6" i="9" s="1"/>
  <c r="AB36" i="9"/>
  <c r="G6" i="9" s="1"/>
  <c r="AA36" i="9"/>
  <c r="D6" i="9" s="1"/>
  <c r="Y36" i="9"/>
  <c r="W36" i="9"/>
  <c r="AG35" i="9"/>
  <c r="AF35" i="9"/>
  <c r="Z35" i="9" s="1"/>
  <c r="AE35" i="9"/>
  <c r="AD35" i="9"/>
  <c r="X35" i="9" s="1"/>
  <c r="AC35" i="9"/>
  <c r="I5" i="9" s="1"/>
  <c r="H5" i="9" s="1"/>
  <c r="AB35" i="9"/>
  <c r="G5" i="9" s="1"/>
  <c r="AA35" i="9"/>
  <c r="E5" i="9" s="1"/>
  <c r="Y35" i="9"/>
  <c r="W35" i="9"/>
  <c r="AG34" i="9"/>
  <c r="AF34" i="9"/>
  <c r="AH34" i="9" s="1"/>
  <c r="P4" i="9" s="1"/>
  <c r="AE34" i="9"/>
  <c r="AD34" i="9"/>
  <c r="AC34" i="9"/>
  <c r="I4" i="9" s="1"/>
  <c r="H4" i="9" s="1"/>
  <c r="AB34" i="9"/>
  <c r="G4" i="9" s="1"/>
  <c r="AA34" i="9"/>
  <c r="E4" i="9" s="1"/>
  <c r="Y34" i="9"/>
  <c r="X34" i="9"/>
  <c r="M4" i="9" s="1"/>
  <c r="W34" i="9"/>
  <c r="D9" i="2"/>
  <c r="D8" i="2"/>
  <c r="X41" i="3"/>
  <c r="X40" i="3"/>
  <c r="X39" i="3"/>
  <c r="X38" i="3"/>
  <c r="X37" i="3"/>
  <c r="X36" i="3"/>
  <c r="X35" i="3"/>
  <c r="X34" i="3"/>
  <c r="Y7" i="8"/>
  <c r="AA67" i="9" s="1"/>
  <c r="AD67" i="9" s="1"/>
  <c r="D6" i="2"/>
  <c r="G6" i="2"/>
  <c r="AC66" i="3"/>
  <c r="AC65" i="3"/>
  <c r="AC64" i="3"/>
  <c r="AC63" i="3"/>
  <c r="AC62" i="3"/>
  <c r="G11" i="9" l="1"/>
  <c r="E7" i="9"/>
  <c r="E6" i="9"/>
  <c r="D4" i="9"/>
  <c r="D12" i="9"/>
  <c r="F12" i="9"/>
  <c r="Z40" i="9"/>
  <c r="Z53" i="9" s="1"/>
  <c r="F10" i="9"/>
  <c r="E8" i="9"/>
  <c r="F6" i="9"/>
  <c r="D5" i="9"/>
  <c r="F5" i="9"/>
  <c r="Z34" i="9"/>
  <c r="Z47" i="9" s="1"/>
  <c r="N4" i="9" s="1"/>
  <c r="X54" i="9"/>
  <c r="L12" i="9" s="1"/>
  <c r="X52" i="9"/>
  <c r="L10" i="9" s="1"/>
  <c r="X53" i="9"/>
  <c r="J11" i="9" s="1"/>
  <c r="K11" i="9" s="1"/>
  <c r="AC63" i="9"/>
  <c r="AC66" i="9"/>
  <c r="AC64" i="9"/>
  <c r="AC67" i="9"/>
  <c r="AC62" i="9"/>
  <c r="Z48" i="9"/>
  <c r="O5" i="9" s="1"/>
  <c r="Z54" i="9"/>
  <c r="O12" i="9" s="1"/>
  <c r="Z51" i="9"/>
  <c r="O8" i="9" s="1"/>
  <c r="Z52" i="9"/>
  <c r="N10" i="9" s="1"/>
  <c r="Z49" i="9"/>
  <c r="N6" i="9" s="1"/>
  <c r="D10" i="9"/>
  <c r="AH39" i="9"/>
  <c r="P10" i="9" s="1"/>
  <c r="L11" i="9"/>
  <c r="E11" i="9"/>
  <c r="AH37" i="9"/>
  <c r="P7" i="9" s="1"/>
  <c r="F7" i="9"/>
  <c r="AH41" i="9"/>
  <c r="P12" i="9" s="1"/>
  <c r="X47" i="9"/>
  <c r="F4" i="9"/>
  <c r="X48" i="9"/>
  <c r="L5" i="9" s="1"/>
  <c r="M5" i="9"/>
  <c r="AH35" i="9"/>
  <c r="P5" i="9" s="1"/>
  <c r="AH36" i="9"/>
  <c r="P6" i="9" s="1"/>
  <c r="M8" i="9"/>
  <c r="X51" i="9"/>
  <c r="L8" i="9" s="1"/>
  <c r="AH38" i="9"/>
  <c r="P8" i="9" s="1"/>
  <c r="F8" i="9"/>
  <c r="J7" i="9"/>
  <c r="K7" i="9" s="1"/>
  <c r="L7" i="9"/>
  <c r="N7" i="9"/>
  <c r="O7" i="9"/>
  <c r="X49" i="9"/>
  <c r="M7" i="9"/>
  <c r="AC68" i="3"/>
  <c r="N8" i="9" l="1"/>
  <c r="O11" i="9"/>
  <c r="N11" i="9"/>
  <c r="J10" i="9"/>
  <c r="K10" i="9" s="1"/>
  <c r="O6" i="9"/>
  <c r="J5" i="9"/>
  <c r="K5" i="9" s="1"/>
  <c r="J12" i="9"/>
  <c r="K12" i="9" s="1"/>
  <c r="N5" i="9"/>
  <c r="J8" i="9"/>
  <c r="K8" i="9" s="1"/>
  <c r="N12" i="9"/>
  <c r="O4" i="9"/>
  <c r="O10" i="9"/>
  <c r="J4" i="9"/>
  <c r="K4" i="9" s="1"/>
  <c r="L4" i="9"/>
  <c r="J6" i="9"/>
  <c r="K6" i="9" s="1"/>
  <c r="L6" i="9"/>
  <c r="AA63" i="3"/>
  <c r="AA64" i="3"/>
  <c r="AA65" i="3"/>
  <c r="AD65" i="3" s="1"/>
  <c r="AA66" i="3"/>
  <c r="AA67" i="3"/>
  <c r="AD68" i="3"/>
  <c r="W63" i="3"/>
  <c r="W64" i="3"/>
  <c r="W65" i="3"/>
  <c r="W66" i="3"/>
  <c r="W67" i="3"/>
  <c r="X63" i="3"/>
  <c r="X64" i="3"/>
  <c r="X65" i="3"/>
  <c r="X66" i="3"/>
  <c r="X67" i="3"/>
  <c r="Z63" i="3"/>
  <c r="Z64" i="3"/>
  <c r="Z65" i="3"/>
  <c r="Z66" i="3"/>
  <c r="Z67" i="3"/>
  <c r="Y63" i="3"/>
  <c r="Y64" i="3"/>
  <c r="Y65" i="3"/>
  <c r="Y66" i="3"/>
  <c r="Y67" i="3"/>
  <c r="Y3" i="8"/>
  <c r="Y4" i="8"/>
  <c r="Y5" i="8"/>
  <c r="Y6" i="8"/>
  <c r="AB67" i="3"/>
  <c r="AE67" i="3" s="1"/>
  <c r="Y2" i="8"/>
  <c r="X62" i="3"/>
  <c r="Y62" i="3"/>
  <c r="Z62" i="3"/>
  <c r="AA62" i="3"/>
  <c r="AD62" i="3" s="1"/>
  <c r="W62" i="3"/>
  <c r="F6" i="2"/>
  <c r="AC67" i="3"/>
  <c r="X61" i="3"/>
  <c r="Y61" i="3"/>
  <c r="Z61" i="3"/>
  <c r="AA61" i="3"/>
  <c r="W61" i="3"/>
  <c r="AH41" i="3"/>
  <c r="AH40" i="3"/>
  <c r="AH39" i="3"/>
  <c r="AH38" i="3"/>
  <c r="AH37" i="3"/>
  <c r="AH36" i="3"/>
  <c r="AH35" i="3"/>
  <c r="AH34" i="3"/>
  <c r="AG41" i="3"/>
  <c r="AA41" i="3" s="1"/>
  <c r="AG40" i="3"/>
  <c r="AI40" i="3" s="1"/>
  <c r="P11" i="3" s="1"/>
  <c r="AG39" i="3"/>
  <c r="AA39" i="3" s="1"/>
  <c r="AG38" i="3"/>
  <c r="AI38" i="3" s="1"/>
  <c r="AG37" i="3"/>
  <c r="AG36" i="3"/>
  <c r="AI36" i="3" s="1"/>
  <c r="P6" i="3" s="1"/>
  <c r="AG35" i="3"/>
  <c r="AI35" i="3" s="1"/>
  <c r="P5" i="3" s="1"/>
  <c r="AI34" i="3"/>
  <c r="AC41" i="3"/>
  <c r="F12" i="3" s="1"/>
  <c r="AC40" i="3"/>
  <c r="F11" i="3" s="1"/>
  <c r="AC39" i="3"/>
  <c r="G10" i="3" s="1"/>
  <c r="AC38" i="3"/>
  <c r="G8" i="3" s="1"/>
  <c r="AC37" i="3"/>
  <c r="G7" i="3" s="1"/>
  <c r="AC36" i="3"/>
  <c r="F6" i="3" s="1"/>
  <c r="AC35" i="3"/>
  <c r="G5" i="3" s="1"/>
  <c r="AC34" i="3"/>
  <c r="G4" i="3" s="1"/>
  <c r="AB41" i="3"/>
  <c r="D12" i="3" s="1"/>
  <c r="AB40" i="3"/>
  <c r="E11" i="3" s="1"/>
  <c r="AB39" i="3"/>
  <c r="E10" i="3" s="1"/>
  <c r="AB38" i="3"/>
  <c r="D8" i="3" s="1"/>
  <c r="AB37" i="3"/>
  <c r="D7" i="3" s="1"/>
  <c r="AB36" i="3"/>
  <c r="D6" i="3" s="1"/>
  <c r="AB35" i="3"/>
  <c r="D5" i="3" s="1"/>
  <c r="AD41" i="3"/>
  <c r="I12" i="3" s="1"/>
  <c r="AE41" i="3"/>
  <c r="Y41" i="3" s="1"/>
  <c r="M12" i="3" s="1"/>
  <c r="AF41" i="3"/>
  <c r="AD40" i="3"/>
  <c r="I11" i="3" s="1"/>
  <c r="AE40" i="3"/>
  <c r="Y40" i="3" s="1"/>
  <c r="M11" i="3" s="1"/>
  <c r="AF40" i="3"/>
  <c r="AD39" i="3"/>
  <c r="I10" i="3" s="1"/>
  <c r="AE39" i="3"/>
  <c r="Y39" i="3" s="1"/>
  <c r="M10" i="3" s="1"/>
  <c r="AF39" i="3"/>
  <c r="AD38" i="3"/>
  <c r="I8" i="3" s="1"/>
  <c r="AE38" i="3"/>
  <c r="Y38" i="3" s="1"/>
  <c r="Y51" i="3" s="1"/>
  <c r="L8" i="3" s="1"/>
  <c r="AF38" i="3"/>
  <c r="AD37" i="3"/>
  <c r="I7" i="3" s="1"/>
  <c r="AE37" i="3"/>
  <c r="Y37" i="3" s="1"/>
  <c r="AF37" i="3"/>
  <c r="AD36" i="3"/>
  <c r="I6" i="3" s="1"/>
  <c r="AE36" i="3"/>
  <c r="Y36" i="3" s="1"/>
  <c r="AF36" i="3"/>
  <c r="AD35" i="3"/>
  <c r="I5" i="3" s="1"/>
  <c r="AE35" i="3"/>
  <c r="Y35" i="3" s="1"/>
  <c r="AF35" i="3"/>
  <c r="AB34" i="3"/>
  <c r="D4" i="3" s="1"/>
  <c r="AD34" i="3"/>
  <c r="I4" i="3" s="1"/>
  <c r="AE34" i="3"/>
  <c r="Y34" i="3" s="1"/>
  <c r="Z41" i="3"/>
  <c r="Z40" i="3"/>
  <c r="Z39" i="3"/>
  <c r="Z38" i="3"/>
  <c r="Z37" i="3"/>
  <c r="Z36" i="3"/>
  <c r="Z35" i="3"/>
  <c r="Z34" i="3"/>
  <c r="M29" i="2"/>
  <c r="F13" i="2" s="1"/>
  <c r="E13" i="2" s="1"/>
  <c r="K29" i="2"/>
  <c r="D13" i="2" s="1"/>
  <c r="C13" i="2" s="1"/>
  <c r="F12" i="2"/>
  <c r="E12" i="2" s="1"/>
  <c r="D12" i="2"/>
  <c r="C12" i="2" s="1"/>
  <c r="C33" i="2"/>
  <c r="D10" i="2" s="1"/>
  <c r="C10" i="2" s="1"/>
  <c r="C35" i="2"/>
  <c r="D35" i="2"/>
  <c r="E39" i="2"/>
  <c r="E40" i="2"/>
  <c r="E41" i="2"/>
  <c r="D30" i="2"/>
  <c r="E30" i="2"/>
  <c r="K4" i="7"/>
  <c r="E31" i="2" s="1"/>
  <c r="K5" i="7"/>
  <c r="E32" i="2" s="1"/>
  <c r="K6" i="7"/>
  <c r="E33" i="2" s="1"/>
  <c r="K7" i="7"/>
  <c r="E34" i="2" s="1"/>
  <c r="K8" i="7"/>
  <c r="E35" i="2" s="1"/>
  <c r="K9" i="7"/>
  <c r="E36" i="2" s="1"/>
  <c r="K10" i="7"/>
  <c r="E37" i="2" s="1"/>
  <c r="K11" i="7"/>
  <c r="E38" i="2" s="1"/>
  <c r="K12" i="7"/>
  <c r="K13" i="7"/>
  <c r="K14" i="7"/>
  <c r="K3" i="7"/>
  <c r="J4" i="7"/>
  <c r="D31" i="2" s="1"/>
  <c r="J5" i="7"/>
  <c r="D32" i="2" s="1"/>
  <c r="J6" i="7"/>
  <c r="D33" i="2" s="1"/>
  <c r="H10" i="2" s="1"/>
  <c r="G10" i="2" s="1"/>
  <c r="J7" i="7"/>
  <c r="D34" i="2" s="1"/>
  <c r="J8" i="7"/>
  <c r="J9" i="7"/>
  <c r="D36" i="2" s="1"/>
  <c r="J10" i="7"/>
  <c r="D37" i="2" s="1"/>
  <c r="J11" i="7"/>
  <c r="D38" i="2" s="1"/>
  <c r="J12" i="7"/>
  <c r="D39" i="2" s="1"/>
  <c r="J13" i="7"/>
  <c r="D40" i="2" s="1"/>
  <c r="J14" i="7"/>
  <c r="D41" i="2" s="1"/>
  <c r="J3" i="7"/>
  <c r="I4" i="7"/>
  <c r="C31" i="2" s="1"/>
  <c r="I5" i="7"/>
  <c r="C32" i="2" s="1"/>
  <c r="I6" i="7"/>
  <c r="I7" i="7"/>
  <c r="C34" i="2" s="1"/>
  <c r="I8" i="7"/>
  <c r="I9" i="7"/>
  <c r="C36" i="2" s="1"/>
  <c r="I10" i="7"/>
  <c r="C37" i="2" s="1"/>
  <c r="I11" i="7"/>
  <c r="C38" i="2" s="1"/>
  <c r="I12" i="7"/>
  <c r="C39" i="2" s="1"/>
  <c r="I13" i="7"/>
  <c r="C40" i="2" s="1"/>
  <c r="I14" i="7"/>
  <c r="C41" i="2" s="1"/>
  <c r="I3" i="7"/>
  <c r="C30" i="2" s="1"/>
  <c r="AB66" i="3" l="1"/>
  <c r="AE66" i="3" s="1"/>
  <c r="AA66" i="9"/>
  <c r="AD66" i="9" s="1"/>
  <c r="AB64" i="3"/>
  <c r="AE64" i="3" s="1"/>
  <c r="AA64" i="9"/>
  <c r="AD64" i="9" s="1"/>
  <c r="AB63" i="3"/>
  <c r="AE63" i="3" s="1"/>
  <c r="AA63" i="9"/>
  <c r="AD63" i="9" s="1"/>
  <c r="AB62" i="3"/>
  <c r="AE62" i="3" s="1"/>
  <c r="AA62" i="9"/>
  <c r="AD62" i="9" s="1"/>
  <c r="AB65" i="3"/>
  <c r="AE65" i="3" s="1"/>
  <c r="AA65" i="9"/>
  <c r="AD65" i="9" s="1"/>
  <c r="AA54" i="3"/>
  <c r="N12" i="3" s="1"/>
  <c r="AD67" i="3"/>
  <c r="AD66" i="3"/>
  <c r="AD63" i="3"/>
  <c r="F10" i="2"/>
  <c r="E10" i="2" s="1"/>
  <c r="AD64" i="3"/>
  <c r="AA52" i="3"/>
  <c r="O10" i="3" s="1"/>
  <c r="F5" i="3"/>
  <c r="G6" i="3"/>
  <c r="AA34" i="3"/>
  <c r="AA47" i="3" s="1"/>
  <c r="N4" i="3" s="1"/>
  <c r="E4" i="3"/>
  <c r="AA38" i="3"/>
  <c r="AA51" i="3" s="1"/>
  <c r="N8" i="3" s="1"/>
  <c r="E8" i="3"/>
  <c r="AI39" i="3"/>
  <c r="P10" i="3" s="1"/>
  <c r="AA37" i="3"/>
  <c r="AA50" i="3" s="1"/>
  <c r="N7" i="3" s="1"/>
  <c r="E7" i="3"/>
  <c r="AA36" i="3"/>
  <c r="AA49" i="3" s="1"/>
  <c r="N6" i="3" s="1"/>
  <c r="E12" i="3"/>
  <c r="AI37" i="3"/>
  <c r="P7" i="3" s="1"/>
  <c r="AA35" i="3"/>
  <c r="AA48" i="3" s="1"/>
  <c r="D10" i="3"/>
  <c r="AA40" i="3"/>
  <c r="AA53" i="3" s="1"/>
  <c r="N11" i="3" s="1"/>
  <c r="D11" i="3"/>
  <c r="F4" i="3"/>
  <c r="AI41" i="3"/>
  <c r="P12" i="3" s="1"/>
  <c r="F7" i="3"/>
  <c r="P4" i="3"/>
  <c r="P8" i="3"/>
  <c r="M5" i="3"/>
  <c r="Y48" i="3"/>
  <c r="L5" i="3" s="1"/>
  <c r="Y47" i="3"/>
  <c r="J4" i="3" s="1"/>
  <c r="K4" i="3" s="1"/>
  <c r="M4" i="3"/>
  <c r="Y52" i="3"/>
  <c r="Y49" i="3"/>
  <c r="M6" i="3"/>
  <c r="Y54" i="3"/>
  <c r="Y53" i="3"/>
  <c r="L11" i="3" s="1"/>
  <c r="Y50" i="3"/>
  <c r="L7" i="3" s="1"/>
  <c r="M7" i="3"/>
  <c r="G12" i="3"/>
  <c r="G11" i="3"/>
  <c r="E5" i="3"/>
  <c r="M8" i="3"/>
  <c r="F10" i="3"/>
  <c r="E6" i="3"/>
  <c r="F8" i="3"/>
  <c r="J8" i="3"/>
  <c r="N10" i="3" l="1"/>
  <c r="O12" i="3"/>
  <c r="O11" i="3"/>
  <c r="O4" i="3"/>
  <c r="L4" i="3"/>
  <c r="O8" i="3"/>
  <c r="J7" i="3"/>
  <c r="K7" i="3" s="1"/>
  <c r="O6" i="3"/>
  <c r="O7" i="3"/>
  <c r="O5" i="3"/>
  <c r="N5" i="3"/>
  <c r="J5" i="3"/>
  <c r="J12" i="3"/>
  <c r="K12" i="3" s="1"/>
  <c r="L12" i="3"/>
  <c r="J6" i="3"/>
  <c r="K6" i="3" s="1"/>
  <c r="L6" i="3"/>
  <c r="J10" i="3"/>
  <c r="K10" i="3" s="1"/>
  <c r="L10" i="3"/>
  <c r="J11" i="3"/>
  <c r="K11" i="3" s="1"/>
  <c r="E6" i="2"/>
  <c r="C6" i="2"/>
  <c r="C16" i="2"/>
  <c r="C15" i="2"/>
  <c r="C14" i="2"/>
  <c r="C7" i="2"/>
  <c r="C8" i="2"/>
  <c r="E7" i="2"/>
  <c r="K5" i="3"/>
  <c r="K8" i="3"/>
  <c r="H11" i="3"/>
  <c r="H12" i="3"/>
  <c r="H10" i="3"/>
  <c r="H5" i="3"/>
  <c r="H6" i="3"/>
  <c r="H7" i="3"/>
  <c r="H8" i="3"/>
  <c r="H4" i="3"/>
</calcChain>
</file>

<file path=xl/sharedStrings.xml><?xml version="1.0" encoding="utf-8"?>
<sst xmlns="http://schemas.openxmlformats.org/spreadsheetml/2006/main" count="557" uniqueCount="210">
  <si>
    <t>SL</t>
  </si>
  <si>
    <t>Date</t>
  </si>
  <si>
    <t>Actual Volume</t>
  </si>
  <si>
    <t>Forecasted Volume</t>
  </si>
  <si>
    <t>Australia</t>
  </si>
  <si>
    <t>Phone</t>
  </si>
  <si>
    <t>Livechat</t>
  </si>
  <si>
    <t>Email</t>
  </si>
  <si>
    <t>Customer Satisfaction</t>
  </si>
  <si>
    <t>NA</t>
  </si>
  <si>
    <t>NA </t>
  </si>
  <si>
    <t>Net Promoter Score</t>
  </si>
  <si>
    <t>Service Level</t>
  </si>
  <si>
    <t>ASA</t>
  </si>
  <si>
    <t>Abandoned</t>
  </si>
  <si>
    <t>Volume</t>
  </si>
  <si>
    <t>Volume vs FCST</t>
  </si>
  <si>
    <t>Average Handle Time</t>
  </si>
  <si>
    <t>AHT vs LY</t>
  </si>
  <si>
    <t>AHT vs FCST</t>
  </si>
  <si>
    <t>FTE vs FCST</t>
  </si>
  <si>
    <t>Adherence</t>
  </si>
  <si>
    <t>Shrinkage</t>
  </si>
  <si>
    <t>Phone - Inbound</t>
  </si>
  <si>
    <t>SLA</t>
  </si>
  <si>
    <t>Owner</t>
  </si>
  <si>
    <t>Queues</t>
  </si>
  <si>
    <t>Services</t>
  </si>
  <si>
    <t>Equipment</t>
  </si>
  <si>
    <t>ISS</t>
  </si>
  <si>
    <t>Tech_AU, Vending_AU, EQS Allocators_AU</t>
  </si>
  <si>
    <t>Delivery</t>
  </si>
  <si>
    <t>AU</t>
  </si>
  <si>
    <t>Delivery_AU, Delivery 2_AU</t>
  </si>
  <si>
    <t>Credit</t>
  </si>
  <si>
    <t>Credit Enquiries_AU, Credit Enquiries_2_AU</t>
  </si>
  <si>
    <t>myCCA</t>
  </si>
  <si>
    <t>myCCA_AU</t>
  </si>
  <si>
    <t>Consumer</t>
  </si>
  <si>
    <t>Consumer Services_AU</t>
  </si>
  <si>
    <t>Sales</t>
  </si>
  <si>
    <t>Sales AU</t>
  </si>
  <si>
    <t>New Business</t>
  </si>
  <si>
    <t>New_Business_AU</t>
  </si>
  <si>
    <t>Grinders</t>
  </si>
  <si>
    <t>ISS &amp; AU</t>
  </si>
  <si>
    <t>Sales_AU, Tech_AU, Rep_AU, Credits_AU, Caffitaly_AU</t>
  </si>
  <si>
    <t>Phone  - Outbound</t>
  </si>
  <si>
    <t>Scheduled Calls</t>
  </si>
  <si>
    <t>Total Orders</t>
  </si>
  <si>
    <t>Strike Rate</t>
  </si>
  <si>
    <t>Total FTE</t>
  </si>
  <si>
    <t>Average Calls</t>
  </si>
  <si>
    <t>Note:</t>
  </si>
  <si>
    <t>Forecast Colour‑Coding Rationale:
Variances within ±5% are considered on target.
Results that exceed ±10% will be flagged as Amber, and results with substantial deviation beyond this range will be flagged as Red.</t>
  </si>
  <si>
    <t>Live Chat</t>
  </si>
  <si>
    <t>ISS Calls</t>
  </si>
  <si>
    <t>ISS Emails</t>
  </si>
  <si>
    <t>NSC Calls</t>
  </si>
  <si>
    <t>NSC Emails</t>
  </si>
  <si>
    <t>NSC Livechat</t>
  </si>
  <si>
    <t>Weeks</t>
  </si>
  <si>
    <t>January</t>
  </si>
  <si>
    <t>February</t>
  </si>
  <si>
    <t>March</t>
  </si>
  <si>
    <t>April</t>
  </si>
  <si>
    <t>May</t>
  </si>
  <si>
    <t>June</t>
  </si>
  <si>
    <t>July</t>
  </si>
  <si>
    <t>August</t>
  </si>
  <si>
    <t>September</t>
  </si>
  <si>
    <t>October</t>
  </si>
  <si>
    <t>November</t>
  </si>
  <si>
    <t>December</t>
  </si>
  <si>
    <t>email</t>
  </si>
  <si>
    <t>livechat</t>
  </si>
  <si>
    <t>Forecast numbers</t>
  </si>
  <si>
    <t>LY Data</t>
  </si>
  <si>
    <t>AHT FCST</t>
  </si>
  <si>
    <t>Grinders_Caffitaly_AU</t>
  </si>
  <si>
    <t>Grinders_Rep_AU</t>
  </si>
  <si>
    <t>Grinders_Sales_AU</t>
  </si>
  <si>
    <t>Grinders_Tech_AU</t>
  </si>
  <si>
    <t>Tech</t>
  </si>
  <si>
    <t>Vending</t>
  </si>
  <si>
    <t>Delivery 2</t>
  </si>
  <si>
    <t>Credit Enquiries_2_AU</t>
  </si>
  <si>
    <t>EQS</t>
  </si>
  <si>
    <t>Day</t>
  </si>
  <si>
    <t>AU_Grinders_PG</t>
  </si>
  <si>
    <t>NSC_NewBusiness_PG</t>
  </si>
  <si>
    <t>NSC_Sales_PG</t>
  </si>
  <si>
    <t>Grand Total</t>
  </si>
  <si>
    <t>Monday</t>
  </si>
  <si>
    <t>Tuesday</t>
  </si>
  <si>
    <t>Wednesday</t>
  </si>
  <si>
    <t>Thursday</t>
  </si>
  <si>
    <t>Friday</t>
  </si>
  <si>
    <t>Saturday</t>
  </si>
  <si>
    <t>Sunday</t>
  </si>
  <si>
    <t>Column Labels</t>
  </si>
  <si>
    <t>NSC_Allocators_PG</t>
  </si>
  <si>
    <t>NSC_ConsumerRelations_PG</t>
  </si>
  <si>
    <t>NSC_CreditEnquiries_2_PG</t>
  </si>
  <si>
    <t>NSC_CreditEnquiries_PG</t>
  </si>
  <si>
    <t>NSC_Delivery_2_PG</t>
  </si>
  <si>
    <t>NSC_Delivery_PG</t>
  </si>
  <si>
    <t>NSC_LiveAgent_PG</t>
  </si>
  <si>
    <t>NSC_myCCA_PG</t>
  </si>
  <si>
    <t>NSC_Tech_PG</t>
  </si>
  <si>
    <t>NSC_Vending_PG</t>
  </si>
  <si>
    <t>NSC_Email_Consumer_PG</t>
  </si>
  <si>
    <t>NSC_Email_DigitalSupport_PG</t>
  </si>
  <si>
    <t>NSC_Email_Inbound_Credit_PG</t>
  </si>
  <si>
    <t>NSC_Email_Online_EQS_PG</t>
  </si>
  <si>
    <t>NSC_Email_Order&amp;Delivery_PG</t>
  </si>
  <si>
    <t>NSC_Email_OrderMaintenance_PG</t>
  </si>
  <si>
    <t>FCST Volume</t>
  </si>
  <si>
    <t>Change</t>
  </si>
  <si>
    <t>Abandoned No Short %</t>
  </si>
  <si>
    <t>Offer</t>
  </si>
  <si>
    <t>Answered</t>
  </si>
  <si>
    <t>AHT</t>
  </si>
  <si>
    <t>Avg Wait</t>
  </si>
  <si>
    <t>0:00:21</t>
  </si>
  <si>
    <t>0:00:13</t>
  </si>
  <si>
    <t>Total</t>
  </si>
  <si>
    <t>Qeueue_groupings</t>
  </si>
  <si>
    <t>Queue (PK)</t>
  </si>
  <si>
    <t>Credit Enquiries_AU</t>
  </si>
  <si>
    <t>0:00:06</t>
  </si>
  <si>
    <t>Delivery_2_AU</t>
  </si>
  <si>
    <t>Delivery_AU</t>
  </si>
  <si>
    <t>0:00:25</t>
  </si>
  <si>
    <t>EQS_Allocators_AU</t>
  </si>
  <si>
    <t>0:00:24</t>
  </si>
  <si>
    <t>Tech_AU</t>
  </si>
  <si>
    <t>Vending_AU</t>
  </si>
  <si>
    <t>Sales_AU</t>
  </si>
  <si>
    <t>Forecasted AHT</t>
  </si>
  <si>
    <t>Actual AHT</t>
  </si>
  <si>
    <t>Volume Variance</t>
  </si>
  <si>
    <t>DayName</t>
  </si>
  <si>
    <t>Sat</t>
  </si>
  <si>
    <t>Sun</t>
  </si>
  <si>
    <t>Mon</t>
  </si>
  <si>
    <t>Tue</t>
  </si>
  <si>
    <t>Wed</t>
  </si>
  <si>
    <t>Thu</t>
  </si>
  <si>
    <t>Fri</t>
  </si>
  <si>
    <t>Queue</t>
  </si>
  <si>
    <t>AU_NSC_Live_Agent_Consultant</t>
  </si>
  <si>
    <t>Change the reference depending on the week reported</t>
  </si>
  <si>
    <t>Update if needed from Aneen's copy</t>
  </si>
  <si>
    <t>Manually update from pbi</t>
  </si>
  <si>
    <t>0:00:20</t>
  </si>
  <si>
    <t>Applied filters:
Media Type is Voice
SL% is not blank
Media Type is voice
Date is on or after 4/4/2026 and is before 4/9/2026
Column is ISS or NSC
Column1 is Aus or ISS AU
Queue is not (Blank), Cust/Consumer Relations, EQS Scheduling NSC, N&amp;K - Customer Support, N&amp;K Online - Customer Support, New Business Campaign, NSC - Inbound Credit, NSC - Order &amp; Delivery, NSC - Order Maintenance, NSC Campaign, NSC Online - Allocation Requests, NSC Online - CCSP, NSC Online - Consumer, NSC Online - Digital Support, NSC Online - E-Business, NSC Online - Email Orders, NSC Online - EQS, NSC Online - Key Account, NSC Online - MADE, NSC Online - New Business, NSC Online - SOCO, NSC Online - Support, NZ NCC Cafe-Direct General, NZ NCC CIC, NZ NCC General, NZ NCC GROW COKE, NZ NCC Licensed, NZ NCC Live Message, NZ NCC MyCCA, NZ NCC Operator, NZ NCC Rep, NZ NCC SEC Support, RY4T2B, RY4T2C, RY4T2D, RY4T3D, RY4T3E, RY4T3F, RY4T4B, RY4T5B, RY4T5C, or RY4T5D
Team does not contain 'Terminated'</t>
  </si>
  <si>
    <t>0:00:16</t>
  </si>
  <si>
    <t>Applied filters:
Media Type is Chat
SL% is not blank
Date is on or after 4/4/2026 and is before 4/9/2026
Column is ISS or NSC
Column1 is Aus or ISS AU
Queue is not (Blank), Cust/Consumer Relations, EQS Scheduling NSC, NSC - Inbound Credit, NSC - Order &amp; Delivery, NSC - Order Maintenance, NSC Campaign, NSC Online - Allocation Requests, NSC Online - CCSP, NSC Online - Consumer, NSC Online - Digital Support, NSC Online - E-Business, NSC Online - Email Orders, NSC Online - EQS, NSC Online - Key Account, NSC Online - MADE, NSC Online - New Business, NSC Online - SOCO, NSC Online - Support, NZ NCC Cafe-Direct General, NZ NCC CIC, NZ NCC General, NZ NCC GROW COKE, NZ NCC Licensed, NZ NCC Live Message, NZ NCC MyCCA, NZ NCC Operator, NZ NCC Rep, NZ NCC SEC Support, RY4T2B, RY4T2C, RY4T2D, RY4T3D, RY4T3E, RY4T3F, RY4T4B, RY4T5B, RY4T5C, or RY4T5D
Team does not contain 'Terminated'</t>
  </si>
  <si>
    <t>Get update from genesys everyday</t>
  </si>
  <si>
    <t>0:00:19</t>
  </si>
  <si>
    <t>get asa from genesys directly</t>
  </si>
  <si>
    <t>0:00:23</t>
  </si>
  <si>
    <t>0:00:15</t>
  </si>
  <si>
    <t>0:00:07</t>
  </si>
  <si>
    <t>0:07:23</t>
  </si>
  <si>
    <t>0:00:11</t>
  </si>
  <si>
    <t>0:00:22</t>
  </si>
  <si>
    <t>0:00:17</t>
  </si>
  <si>
    <t>0:06:30</t>
  </si>
  <si>
    <t>7m 24s</t>
  </si>
  <si>
    <t>get email SL from power bi</t>
  </si>
  <si>
    <t>get email volume from power bi</t>
  </si>
  <si>
    <t>manually update this</t>
  </si>
  <si>
    <t>fte vs forecast manual update from aneens copy and number of agents from genesys</t>
  </si>
  <si>
    <t>get from power bi</t>
  </si>
  <si>
    <t>get from powr bi</t>
  </si>
  <si>
    <t>get from pbi</t>
  </si>
  <si>
    <t>updated by SAP files thru power bi</t>
  </si>
  <si>
    <t>computation from Curlyn's email OB Giders</t>
  </si>
  <si>
    <t>0:00:05</t>
  </si>
  <si>
    <t>0:06:46</t>
  </si>
  <si>
    <t>0:00:14</t>
  </si>
  <si>
    <t>0:06:29</t>
  </si>
  <si>
    <t>0:08:40</t>
  </si>
  <si>
    <t>0:00:09</t>
  </si>
  <si>
    <t>0:09:51</t>
  </si>
  <si>
    <t>0:08:09</t>
  </si>
  <si>
    <t>0:00:18</t>
  </si>
  <si>
    <t>0:06:56</t>
  </si>
  <si>
    <t>0:00:26</t>
  </si>
  <si>
    <t>0:08:29</t>
  </si>
  <si>
    <t>0:00:31</t>
  </si>
  <si>
    <t>0:06:49</t>
  </si>
  <si>
    <t>0:07:03</t>
  </si>
  <si>
    <t>0:07:13</t>
  </si>
  <si>
    <t>0:00:54</t>
  </si>
  <si>
    <t>0:06:44</t>
  </si>
  <si>
    <t>0:00:03</t>
  </si>
  <si>
    <t>0:09:57</t>
  </si>
  <si>
    <t>0:06:07</t>
  </si>
  <si>
    <t>0:06:48</t>
  </si>
  <si>
    <t>0:00:32</t>
  </si>
  <si>
    <t>0:06:59</t>
  </si>
  <si>
    <t>0:15:51</t>
  </si>
  <si>
    <t>0:07:07</t>
  </si>
  <si>
    <t>0:12:40</t>
  </si>
  <si>
    <t>12m 38s</t>
  </si>
  <si>
    <t>11m 49s</t>
  </si>
  <si>
    <t>7m 9s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</si>
</sst>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8" x14ac:knownFonts="1">
    <font>
      <sz val="11"/>
      <color theme="1"/>
      <name val="Aptos Narrow"/>
      <family val="2"/>
      <scheme val="minor"/>
    </font>
    <font>
      <sz val="11"/>
      <color theme="1"/>
      <name val="Aptos Narrow"/>
      <family val="2"/>
      <scheme val="minor"/>
    </font>
    <font>
      <b/>
      <sz val="11"/>
      <color rgb="FFFFFFFF"/>
      <name val="Aptos Narrow"/>
      <family val="2"/>
    </font>
    <font>
      <sz val="11"/>
      <color rgb="FF000000"/>
      <name val="Aptos Narrow"/>
      <family val="2"/>
    </font>
    <font>
      <sz val="11"/>
      <color theme="1"/>
      <name val="Aptos Narrow"/>
      <family val="2"/>
    </font>
    <font>
      <b/>
      <sz val="11"/>
      <color rgb="FF000000"/>
      <name val="Aptos Narrow"/>
      <family val="2"/>
    </font>
    <font>
      <sz val="10"/>
      <color rgb="FF000000"/>
      <name val="Aptos Narrow"/>
      <family val="2"/>
    </font>
    <font>
      <sz val="11"/>
      <color rgb="FF00B050"/>
      <name val="Aptos Narrow"/>
      <family val="2"/>
    </font>
    <font>
      <sz val="11"/>
      <color theme="0"/>
      <name val="Aptos Narrow"/>
      <family val="2"/>
      <scheme val="minor"/>
    </font>
    <font>
      <sz val="10"/>
      <color theme="0" tint="-0.499984740745262"/>
      <name val="Aptos Narrow"/>
      <family val="2"/>
    </font>
    <font>
      <b/>
      <sz val="11"/>
      <color theme="1"/>
      <name val="Aptos Narrow"/>
      <family val="2"/>
      <scheme val="minor"/>
    </font>
    <font>
      <sz val="11"/>
      <color rgb="FF000000"/>
      <name val="Calibri"/>
      <family val="2"/>
    </font>
    <font>
      <b/>
      <sz val="11"/>
      <color rgb="FF000000"/>
      <name val="Calibri"/>
      <family val="2"/>
    </font>
    <font>
      <sz val="8"/>
      <name val="Aptos Narrow"/>
      <family val="2"/>
      <scheme val="minor"/>
    </font>
    <font>
      <sz val="11"/>
      <name val="Aptos Narrow"/>
      <family val="2"/>
    </font>
    <font>
      <b/>
      <sz val="11"/>
      <name val="Aptos Narrow"/>
      <family val="2"/>
    </font>
    <font>
      <sz val="11"/>
      <name val="Aptos Narrow"/>
    </font>
    <font>
      <b/>
      <sz val="11"/>
      <name val="Aptos Narrow"/>
    </font>
  </fonts>
  <fills count="10">
    <fill>
      <patternFill patternType="none"/>
    </fill>
    <fill>
      <patternFill patternType="gray125"/>
    </fill>
    <fill>
      <patternFill patternType="solid">
        <fgColor rgb="FF000000"/>
        <bgColor indexed="64"/>
      </patternFill>
    </fill>
    <fill>
      <patternFill patternType="solid">
        <fgColor rgb="FFF2F2F2"/>
        <bgColor indexed="64"/>
      </patternFill>
    </fill>
    <fill>
      <patternFill patternType="solid">
        <fgColor rgb="FFE8E8E8"/>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FFCACB"/>
      </patternFill>
    </fill>
    <fill>
      <patternFill patternType="solid">
        <fgColor theme="4" tint="0.79998168889431442"/>
        <bgColor theme="4" tint="0.79998168889431442"/>
      </patternFill>
    </fill>
    <fill>
      <patternFill patternType="solid">
        <fgColor rgb="FFFFFF00"/>
        <bgColor indexed="64"/>
      </patternFill>
    </fill>
  </fills>
  <borders count="33">
    <border>
      <left/>
      <right/>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rgb="FFE8E8E8"/>
      </left>
      <right/>
      <top style="medium">
        <color rgb="FFE8E8E8"/>
      </top>
      <bottom/>
      <diagonal/>
    </border>
    <border>
      <left/>
      <right style="medium">
        <color rgb="FFE8E8E8"/>
      </right>
      <top style="medium">
        <color rgb="FFE8E8E8"/>
      </top>
      <bottom/>
      <diagonal/>
    </border>
    <border>
      <left style="medium">
        <color rgb="FFE8E8E8"/>
      </left>
      <right style="medium">
        <color rgb="FFE8E8E8"/>
      </right>
      <top style="medium">
        <color rgb="FFE8E8E8"/>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
      <left/>
      <right/>
      <top style="thin">
        <color theme="4" tint="0.39997558519241921"/>
      </top>
      <bottom/>
      <diagonal/>
    </border>
    <border>
      <left/>
      <right style="thin">
        <color auto="1"/>
      </right>
      <top/>
      <bottom/>
      <diagonal/>
    </border>
  </borders>
  <cellStyleXfs count="4">
    <xf numFmtId="0" fontId="0" fillId="0" borderId="0"/>
    <xf numFmtId="9" fontId="1" fillId="0" borderId="0" applyFont="0" applyFill="0" applyBorder="0" applyAlignment="0" applyProtection="0"/>
    <xf numFmtId="0" fontId="14" fillId="0" borderId="0"/>
    <xf numFmtId="0" fontId="16" fillId="0" borderId="0"/>
  </cellStyleXfs>
  <cellXfs count="148">
    <xf numFmtId="0" fontId="0" fillId="0" borderId="0" xfId="0"/>
    <xf numFmtId="1" fontId="0" fillId="0" borderId="0" xfId="0" applyNumberFormat="1"/>
    <xf numFmtId="9" fontId="0" fillId="0" borderId="0" xfId="1" applyFont="1"/>
    <xf numFmtId="0" fontId="2" fillId="2" borderId="3" xfId="0" applyFont="1" applyFill="1" applyBorder="1" applyAlignment="1">
      <alignment vertical="center" wrapText="1"/>
    </xf>
    <xf numFmtId="0" fontId="2" fillId="2" borderId="4" xfId="0" applyFont="1" applyFill="1" applyBorder="1" applyAlignment="1">
      <alignment horizontal="right"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3" fillId="0" borderId="8" xfId="0" applyFont="1" applyBorder="1" applyAlignment="1">
      <alignment vertical="center" wrapText="1"/>
    </xf>
    <xf numFmtId="9" fontId="3" fillId="0" borderId="8" xfId="0" applyNumberFormat="1" applyFont="1" applyBorder="1" applyAlignment="1">
      <alignment horizontal="right" vertical="center" wrapText="1"/>
    </xf>
    <xf numFmtId="9" fontId="3" fillId="5" borderId="9" xfId="0" applyNumberFormat="1" applyFont="1" applyFill="1" applyBorder="1" applyAlignment="1">
      <alignment horizontal="left" vertical="center" wrapText="1"/>
    </xf>
    <xf numFmtId="9" fontId="3" fillId="5" borderId="13" xfId="1" applyFont="1" applyFill="1" applyBorder="1" applyAlignment="1">
      <alignment horizontal="left" vertical="center" wrapText="1"/>
    </xf>
    <xf numFmtId="0" fontId="0" fillId="0" borderId="0" xfId="0" applyAlignment="1">
      <alignment horizontal="right"/>
    </xf>
    <xf numFmtId="1" fontId="3" fillId="5" borderId="8" xfId="0" applyNumberFormat="1" applyFont="1" applyFill="1" applyBorder="1" applyAlignment="1">
      <alignment horizontal="right" vertical="center" wrapText="1"/>
    </xf>
    <xf numFmtId="0" fontId="3" fillId="5" borderId="9" xfId="0" applyFont="1" applyFill="1" applyBorder="1" applyAlignment="1">
      <alignment horizontal="left" vertical="center" wrapText="1"/>
    </xf>
    <xf numFmtId="9" fontId="3" fillId="5" borderId="8" xfId="0" applyNumberFormat="1" applyFont="1" applyFill="1" applyBorder="1" applyAlignment="1">
      <alignment horizontal="right" vertical="center" wrapText="1"/>
    </xf>
    <xf numFmtId="9" fontId="4" fillId="0" borderId="9" xfId="0" applyNumberFormat="1" applyFont="1" applyBorder="1" applyAlignment="1">
      <alignment horizontal="left" vertical="center" wrapText="1"/>
    </xf>
    <xf numFmtId="9" fontId="4" fillId="0" borderId="8" xfId="0" applyNumberFormat="1" applyFont="1" applyBorder="1" applyAlignment="1">
      <alignment horizontal="right" vertical="center" wrapText="1"/>
    </xf>
    <xf numFmtId="0" fontId="4" fillId="0" borderId="9" xfId="0" applyFont="1" applyBorder="1" applyAlignment="1">
      <alignment horizontal="right" vertical="center" wrapText="1"/>
    </xf>
    <xf numFmtId="9" fontId="4" fillId="0" borderId="13" xfId="0" applyNumberFormat="1" applyFont="1" applyBorder="1" applyAlignment="1">
      <alignment horizontal="left" vertical="center" wrapText="1"/>
    </xf>
    <xf numFmtId="0" fontId="4" fillId="0" borderId="9" xfId="0" applyFont="1" applyBorder="1" applyAlignment="1">
      <alignment horizontal="left" vertical="center" wrapText="1"/>
    </xf>
    <xf numFmtId="9" fontId="4" fillId="0" borderId="12" xfId="0" applyNumberFormat="1" applyFont="1" applyBorder="1" applyAlignment="1">
      <alignment horizontal="left" vertical="center" wrapText="1"/>
    </xf>
    <xf numFmtId="9" fontId="0" fillId="0" borderId="8" xfId="0" applyNumberFormat="1" applyBorder="1" applyAlignment="1">
      <alignment horizontal="right" vertical="center"/>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10" fontId="0" fillId="0" borderId="8" xfId="0" applyNumberFormat="1" applyBorder="1" applyAlignment="1">
      <alignment horizontal="right" vertical="center"/>
    </xf>
    <xf numFmtId="10" fontId="0" fillId="0" borderId="6" xfId="0" applyNumberFormat="1" applyBorder="1" applyAlignment="1">
      <alignment horizontal="right" vertical="center"/>
    </xf>
    <xf numFmtId="0" fontId="4" fillId="0" borderId="7" xfId="0" applyFont="1" applyBorder="1" applyAlignment="1">
      <alignment horizontal="right" vertical="center" wrapText="1"/>
    </xf>
    <xf numFmtId="0" fontId="2" fillId="2" borderId="18" xfId="0" applyFont="1" applyFill="1" applyBorder="1" applyAlignment="1">
      <alignment vertical="center" wrapText="1"/>
    </xf>
    <xf numFmtId="0" fontId="3" fillId="0" borderId="6" xfId="0" applyFont="1" applyBorder="1" applyAlignment="1">
      <alignment vertical="center" wrapText="1"/>
    </xf>
    <xf numFmtId="0" fontId="3" fillId="0" borderId="8" xfId="0" applyFont="1" applyBorder="1" applyAlignment="1">
      <alignment horizontal="right" vertical="center" wrapText="1"/>
    </xf>
    <xf numFmtId="9" fontId="3" fillId="0" borderId="8" xfId="1" applyFont="1" applyBorder="1" applyAlignment="1">
      <alignment horizontal="right" vertical="center" wrapText="1"/>
    </xf>
    <xf numFmtId="10" fontId="3" fillId="0" borderId="8" xfId="0" applyNumberFormat="1" applyFont="1" applyBorder="1" applyAlignment="1">
      <alignment horizontal="right" vertical="center" wrapText="1"/>
    </xf>
    <xf numFmtId="10" fontId="3" fillId="0" borderId="13" xfId="0" applyNumberFormat="1" applyFont="1" applyBorder="1" applyAlignment="1">
      <alignment horizontal="left" vertical="center" wrapText="1"/>
    </xf>
    <xf numFmtId="0" fontId="4" fillId="0" borderId="8" xfId="0" applyFont="1" applyBorder="1" applyAlignment="1">
      <alignment horizontal="right" vertical="center" wrapText="1"/>
    </xf>
    <xf numFmtId="0" fontId="7" fillId="0" borderId="8" xfId="0" applyFont="1" applyBorder="1" applyAlignment="1">
      <alignment horizontal="right" vertical="center" wrapText="1"/>
    </xf>
    <xf numFmtId="9" fontId="7" fillId="0" borderId="8" xfId="1" applyFont="1" applyBorder="1" applyAlignment="1">
      <alignment horizontal="right" vertical="center" wrapText="1"/>
    </xf>
    <xf numFmtId="0" fontId="3" fillId="3" borderId="13" xfId="0" applyFont="1" applyFill="1" applyBorder="1" applyAlignment="1">
      <alignment horizontal="left" vertical="center" wrapText="1"/>
    </xf>
    <xf numFmtId="0" fontId="3" fillId="5" borderId="13" xfId="0" applyFont="1" applyFill="1" applyBorder="1" applyAlignment="1">
      <alignment horizontal="left" vertical="center" wrapText="1"/>
    </xf>
    <xf numFmtId="0" fontId="3" fillId="5" borderId="8" xfId="0" applyFont="1" applyFill="1" applyBorder="1" applyAlignment="1">
      <alignment horizontal="right" vertical="center" wrapText="1"/>
    </xf>
    <xf numFmtId="0" fontId="3" fillId="0" borderId="2" xfId="0" applyFont="1" applyBorder="1" applyAlignment="1">
      <alignment horizontal="left" vertical="center" wrapText="1"/>
    </xf>
    <xf numFmtId="9" fontId="4" fillId="0" borderId="13" xfId="0" applyNumberFormat="1" applyFont="1" applyBorder="1" applyAlignment="1">
      <alignment horizontal="right" vertical="center" wrapText="1"/>
    </xf>
    <xf numFmtId="0" fontId="3" fillId="0" borderId="0" xfId="0" applyFont="1" applyAlignment="1">
      <alignment vertical="center" wrapText="1"/>
    </xf>
    <xf numFmtId="9" fontId="8" fillId="0" borderId="0" xfId="0" applyNumberFormat="1" applyFont="1"/>
    <xf numFmtId="0" fontId="11" fillId="0" borderId="0" xfId="0" applyFont="1"/>
    <xf numFmtId="0" fontId="11" fillId="0" borderId="19" xfId="0" applyFont="1" applyBorder="1" applyAlignment="1">
      <alignment horizontal="center"/>
    </xf>
    <xf numFmtId="0" fontId="11" fillId="0" borderId="20" xfId="0" applyFont="1" applyBorder="1"/>
    <xf numFmtId="0" fontId="12" fillId="0" borderId="21" xfId="0" applyFont="1" applyBorder="1"/>
    <xf numFmtId="0" fontId="11" fillId="0" borderId="22" xfId="0" applyFont="1" applyBorder="1"/>
    <xf numFmtId="0" fontId="11" fillId="0" borderId="21" xfId="0" applyFont="1" applyBorder="1"/>
    <xf numFmtId="0" fontId="11" fillId="0" borderId="23" xfId="0" applyFont="1" applyBorder="1"/>
    <xf numFmtId="0" fontId="11" fillId="0" borderId="5" xfId="0" applyFont="1" applyBorder="1"/>
    <xf numFmtId="0" fontId="11" fillId="0" borderId="4" xfId="0" applyFont="1" applyBorder="1"/>
    <xf numFmtId="0" fontId="11" fillId="0" borderId="3" xfId="0" applyFont="1" applyBorder="1"/>
    <xf numFmtId="0" fontId="11" fillId="0" borderId="24" xfId="0" applyFont="1" applyBorder="1"/>
    <xf numFmtId="0" fontId="11" fillId="0" borderId="25" xfId="0" applyFont="1" applyBorder="1"/>
    <xf numFmtId="0" fontId="11" fillId="0" borderId="26" xfId="0" applyFont="1" applyBorder="1"/>
    <xf numFmtId="0" fontId="11" fillId="0" borderId="27" xfId="0" applyFont="1" applyBorder="1"/>
    <xf numFmtId="10" fontId="4" fillId="0" borderId="13" xfId="0" applyNumberFormat="1" applyFont="1" applyBorder="1" applyAlignment="1">
      <alignment horizontal="left" vertical="center" wrapText="1"/>
    </xf>
    <xf numFmtId="9" fontId="4" fillId="0" borderId="13" xfId="1" applyFont="1" applyBorder="1" applyAlignment="1">
      <alignment horizontal="left" vertical="center" wrapText="1"/>
    </xf>
    <xf numFmtId="0" fontId="4" fillId="0" borderId="28" xfId="0" applyFont="1" applyBorder="1" applyAlignment="1">
      <alignment horizontal="right" vertical="center" wrapText="1"/>
    </xf>
    <xf numFmtId="0" fontId="4" fillId="0" borderId="29" xfId="0" applyFont="1" applyBorder="1" applyAlignment="1">
      <alignment horizontal="left" vertical="center" wrapText="1"/>
    </xf>
    <xf numFmtId="0" fontId="3" fillId="3" borderId="6" xfId="0" applyFont="1" applyFill="1" applyBorder="1" applyAlignment="1">
      <alignment horizontal="right" vertical="center" wrapText="1"/>
    </xf>
    <xf numFmtId="0" fontId="3" fillId="3" borderId="7" xfId="0" applyFont="1" applyFill="1" applyBorder="1" applyAlignment="1">
      <alignment horizontal="left" vertical="center" wrapText="1"/>
    </xf>
    <xf numFmtId="10" fontId="4" fillId="0" borderId="9" xfId="0" applyNumberFormat="1" applyFont="1" applyBorder="1" applyAlignment="1">
      <alignment horizontal="left" vertical="center" wrapText="1"/>
    </xf>
    <xf numFmtId="0" fontId="0" fillId="6" borderId="0" xfId="0" applyFill="1"/>
    <xf numFmtId="0" fontId="10" fillId="8" borderId="30" xfId="0" applyFont="1" applyFill="1" applyBorder="1"/>
    <xf numFmtId="0" fontId="0" fillId="0" borderId="0" xfId="0" applyAlignment="1">
      <alignment horizontal="left"/>
    </xf>
    <xf numFmtId="0" fontId="10" fillId="8" borderId="31" xfId="0" applyFont="1" applyFill="1" applyBorder="1"/>
    <xf numFmtId="1" fontId="10" fillId="8" borderId="31" xfId="0" applyNumberFormat="1" applyFont="1" applyFill="1" applyBorder="1"/>
    <xf numFmtId="0" fontId="10" fillId="8" borderId="0" xfId="0" applyFont="1" applyFill="1"/>
    <xf numFmtId="0" fontId="3" fillId="5" borderId="8" xfId="0" applyFont="1" applyFill="1" applyBorder="1" applyAlignment="1">
      <alignment vertical="center" wrapText="1"/>
    </xf>
    <xf numFmtId="0" fontId="3" fillId="5" borderId="2" xfId="0" applyFont="1" applyFill="1" applyBorder="1" applyAlignment="1">
      <alignment horizontal="center" vertical="center" wrapText="1"/>
    </xf>
    <xf numFmtId="0" fontId="0" fillId="5" borderId="0" xfId="0" applyFill="1"/>
    <xf numFmtId="9" fontId="0" fillId="0" borderId="13" xfId="0" applyNumberFormat="1" applyBorder="1" applyAlignment="1">
      <alignment horizontal="right" vertical="center"/>
    </xf>
    <xf numFmtId="0" fontId="0" fillId="0" borderId="15" xfId="0" applyBorder="1"/>
    <xf numFmtId="0" fontId="14" fillId="0" borderId="15" xfId="2" applyBorder="1"/>
    <xf numFmtId="1" fontId="15" fillId="0" borderId="0" xfId="0" applyNumberFormat="1" applyFont="1"/>
    <xf numFmtId="9" fontId="4" fillId="0" borderId="12" xfId="0" applyNumberFormat="1" applyFont="1" applyBorder="1" applyAlignment="1">
      <alignment horizontal="right" vertical="center" wrapText="1"/>
    </xf>
    <xf numFmtId="9" fontId="4" fillId="5" borderId="12" xfId="0" applyNumberFormat="1" applyFont="1" applyFill="1" applyBorder="1" applyAlignment="1">
      <alignment horizontal="right" vertical="center" wrapText="1"/>
    </xf>
    <xf numFmtId="9" fontId="4" fillId="0" borderId="7" xfId="0" applyNumberFormat="1" applyFont="1" applyBorder="1" applyAlignment="1">
      <alignment horizontal="left" vertical="center" wrapText="1"/>
    </xf>
    <xf numFmtId="0" fontId="3" fillId="6" borderId="0" xfId="0" applyFont="1" applyFill="1" applyAlignment="1">
      <alignment vertical="center" wrapText="1"/>
    </xf>
    <xf numFmtId="0" fontId="0" fillId="0" borderId="2" xfId="0" applyBorder="1"/>
    <xf numFmtId="1" fontId="0" fillId="0" borderId="2" xfId="0" applyNumberFormat="1" applyBorder="1"/>
    <xf numFmtId="0" fontId="4" fillId="0" borderId="2" xfId="0" applyFont="1" applyBorder="1" applyAlignment="1">
      <alignment horizontal="left" vertical="center" wrapText="1"/>
    </xf>
    <xf numFmtId="9" fontId="0" fillId="0" borderId="2" xfId="1" applyFont="1" applyBorder="1"/>
    <xf numFmtId="0" fontId="3" fillId="6" borderId="2" xfId="0" applyFont="1" applyFill="1" applyBorder="1" applyAlignment="1">
      <alignment vertical="center" wrapText="1"/>
    </xf>
    <xf numFmtId="14" fontId="0" fillId="0" borderId="2" xfId="0" applyNumberFormat="1" applyBorder="1"/>
    <xf numFmtId="9" fontId="4" fillId="0" borderId="9" xfId="0" applyNumberFormat="1" applyFont="1" applyBorder="1" applyAlignment="1">
      <alignment horizontal="center" vertical="center" wrapText="1"/>
    </xf>
    <xf numFmtId="0" fontId="2" fillId="2" borderId="4" xfId="0" applyFont="1" applyFill="1" applyBorder="1" applyAlignment="1">
      <alignment horizontal="left" vertical="center" wrapText="1"/>
    </xf>
    <xf numFmtId="1" fontId="4" fillId="0" borderId="13" xfId="0" applyNumberFormat="1" applyFont="1" applyBorder="1" applyAlignment="1">
      <alignment horizontal="left" vertical="center" wrapText="1"/>
    </xf>
    <xf numFmtId="0" fontId="0" fillId="9" borderId="0" xfId="0" applyFill="1"/>
    <xf numFmtId="0" fontId="0" fillId="9" borderId="2" xfId="0" applyFill="1" applyBorder="1"/>
    <xf numFmtId="0" fontId="0" fillId="6" borderId="2" xfId="0" applyFill="1" applyBorder="1"/>
    <xf numFmtId="0" fontId="12" fillId="7" borderId="2" xfId="0" applyFont="1" applyFill="1" applyBorder="1"/>
    <xf numFmtId="0" fontId="11" fillId="6" borderId="2" xfId="0" applyFont="1" applyFill="1" applyBorder="1"/>
    <xf numFmtId="10" fontId="0" fillId="0" borderId="2" xfId="0" applyNumberFormat="1" applyBorder="1"/>
    <xf numFmtId="0" fontId="14" fillId="0" borderId="0" xfId="2"/>
    <xf numFmtId="2" fontId="0" fillId="0" borderId="2" xfId="0" applyNumberFormat="1" applyBorder="1"/>
    <xf numFmtId="9" fontId="3" fillId="0" borderId="2" xfId="0" applyNumberFormat="1" applyFont="1" applyBorder="1" applyAlignment="1">
      <alignment horizontal="left" vertical="center" wrapText="1"/>
    </xf>
    <xf numFmtId="0" fontId="16" fillId="0" borderId="0" xfId="3"/>
    <xf numFmtId="0" fontId="17" fillId="0" borderId="0" xfId="3" applyFont="1"/>
    <xf numFmtId="0" fontId="16" fillId="0" borderId="32" xfId="3" applyBorder="1"/>
    <xf numFmtId="0" fontId="17" fillId="0" borderId="32" xfId="3" applyFont="1" applyBorder="1"/>
    <xf numFmtId="164" fontId="17" fillId="0" borderId="0" xfId="3" applyNumberFormat="1" applyFont="1"/>
    <xf numFmtId="1" fontId="17" fillId="0" borderId="0" xfId="3" applyNumberFormat="1" applyFont="1"/>
    <xf numFmtId="164" fontId="16" fillId="0" borderId="0" xfId="3" applyNumberFormat="1"/>
    <xf numFmtId="1" fontId="16" fillId="0" borderId="0" xfId="3" applyNumberFormat="1"/>
    <xf numFmtId="0" fontId="6" fillId="0" borderId="0" xfId="0" applyFont="1" applyAlignment="1">
      <alignment vertical="center" wrapText="1"/>
    </xf>
    <xf numFmtId="0" fontId="6" fillId="5" borderId="0" xfId="0" applyFont="1" applyFill="1" applyAlignment="1">
      <alignment vertical="center" wrapText="1"/>
    </xf>
    <xf numFmtId="0" fontId="2" fillId="5" borderId="0" xfId="0" applyFont="1" applyFill="1" applyAlignment="1">
      <alignment vertical="center" wrapText="1"/>
    </xf>
    <xf numFmtId="0" fontId="5" fillId="5" borderId="0" xfId="0" applyFont="1" applyFill="1" applyAlignment="1">
      <alignment horizontal="left" vertical="center" wrapText="1"/>
    </xf>
    <xf numFmtId="0" fontId="15" fillId="0" borderId="0" xfId="0" applyFont="1"/>
    <xf numFmtId="164" fontId="15" fillId="0" borderId="0" xfId="0" applyNumberFormat="1" applyFont="1"/>
    <xf numFmtId="0" fontId="6" fillId="9" borderId="0" xfId="0" applyFont="1" applyFill="1" applyAlignment="1">
      <alignment vertical="center" wrapText="1"/>
    </xf>
    <xf numFmtId="0" fontId="16" fillId="0" borderId="0" xfId="3" applyAlignment="1">
      <alignment vertical="top"/>
    </xf>
    <xf numFmtId="9" fontId="0" fillId="0" borderId="0" xfId="0" applyNumberFormat="1"/>
    <xf numFmtId="21" fontId="0" fillId="0" borderId="0" xfId="0" applyNumberFormat="1"/>
    <xf numFmtId="9" fontId="16" fillId="0" borderId="0" xfId="3" applyNumberFormat="1"/>
    <xf numFmtId="21" fontId="16" fillId="0" borderId="0" xfId="3" applyNumberFormat="1"/>
    <xf numFmtId="14" fontId="16" fillId="0" borderId="0" xfId="3" applyNumberFormat="1"/>
    <xf numFmtId="21" fontId="0" fillId="0" borderId="15" xfId="0" applyNumberFormat="1" applyBorder="1"/>
    <xf numFmtId="14" fontId="17" fillId="0" borderId="0" xfId="3" applyNumberFormat="1" applyFont="1"/>
    <xf numFmtId="21" fontId="17" fillId="0" borderId="0" xfId="3" applyNumberFormat="1" applyFont="1"/>
    <xf numFmtId="21" fontId="15" fillId="0" borderId="0" xfId="0" applyNumberFormat="1" applyFont="1"/>
    <xf numFmtId="0" fontId="11" fillId="0" borderId="20" xfId="0" applyFont="1" applyBorder="1" applyAlignment="1">
      <alignment horizontal="center"/>
    </xf>
    <xf numFmtId="0" fontId="11" fillId="0" borderId="22" xfId="0" applyFont="1" applyBorder="1" applyAlignment="1">
      <alignment horizontal="center"/>
    </xf>
    <xf numFmtId="0" fontId="11" fillId="0" borderId="21" xfId="0" applyFont="1" applyBorder="1" applyAlignment="1">
      <alignment horizontal="center"/>
    </xf>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9" fillId="5" borderId="0" xfId="0" applyFont="1" applyFill="1" applyAlignment="1">
      <alignment horizontal="left" vertical="center" wrapText="1"/>
    </xf>
    <xf numFmtId="0" fontId="0" fillId="0" borderId="0" xfId="0" applyAlignment="1">
      <alignment horizontal="center"/>
    </xf>
    <xf numFmtId="0" fontId="6" fillId="0" borderId="2" xfId="0" applyFont="1" applyBorder="1" applyAlignment="1">
      <alignment vertical="center" wrapText="1"/>
    </xf>
    <xf numFmtId="0" fontId="5" fillId="4" borderId="2"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2" fillId="2" borderId="5" xfId="0" applyFont="1" applyFill="1" applyBorder="1" applyAlignment="1">
      <alignment vertical="center" wrapText="1"/>
    </xf>
    <xf numFmtId="0" fontId="2" fillId="2" borderId="4" xfId="0" applyFont="1" applyFill="1" applyBorder="1" applyAlignment="1">
      <alignment vertical="center" wrapText="1"/>
    </xf>
    <xf numFmtId="0" fontId="6" fillId="5" borderId="2" xfId="0" applyFont="1" applyFill="1" applyBorder="1" applyAlignment="1">
      <alignment vertical="center" wrapText="1"/>
    </xf>
    <xf numFmtId="0" fontId="5" fillId="4" borderId="10" xfId="0" applyFont="1" applyFill="1" applyBorder="1" applyAlignment="1">
      <alignment horizontal="left"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6" fillId="0" borderId="0" xfId="3" applyAlignment="1">
      <alignment vertical="top"/>
    </xf>
    <xf numFmtId="0" fontId="17" fillId="0" borderId="0" xfId="3" applyFont="1" applyAlignment="1">
      <alignment vertical="top"/>
    </xf>
    <xf numFmtId="0" fontId="16" fillId="0" borderId="32" xfId="3" applyBorder="1"/>
  </cellXfs>
  <cellStyles count="4">
    <cellStyle name="Normal" xfId="0" builtinId="0"/>
    <cellStyle name="Normal 2" xfId="2" xr:uid="{A112A29A-4B6E-4C1E-87D8-E7B2FEC39797}"/>
    <cellStyle name="Normal 3" xfId="3" xr:uid="{74D6C617-250C-4E79-9F9C-DBFF7B007261}"/>
    <cellStyle name="Percent" xfId="1"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0" i="0">
                <a:effectLst/>
              </a:rPr>
              <a:t>Week 16: Service Level vs % Volume Variance to Forecast </a:t>
            </a:r>
          </a:p>
        </c:rich>
      </c:tx>
      <c:layout>
        <c:manualLayout>
          <c:xMode val="edge"/>
          <c:yMode val="edge"/>
          <c:x val="0.3054100414152624"/>
          <c:y val="4.373213482031774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946313260051666E-2"/>
          <c:y val="0.16579857909480633"/>
          <c:w val="0.88931913003218543"/>
          <c:h val="0.77471391076115481"/>
        </c:manualLayout>
      </c:layout>
      <c:barChart>
        <c:barDir val="col"/>
        <c:grouping val="clustered"/>
        <c:varyColors val="0"/>
        <c:ser>
          <c:idx val="5"/>
          <c:order val="0"/>
          <c:tx>
            <c:strRef>
              <c:f>'Working File'!$AD$61</c:f>
              <c:strCache>
                <c:ptCount val="1"/>
                <c:pt idx="0">
                  <c:v>Volume Variance</c:v>
                </c:pt>
              </c:strCache>
            </c:strRef>
          </c:tx>
          <c:spPr>
            <a:solidFill>
              <a:srgbClr val="FF5050"/>
            </a:solidFill>
            <a:ln>
              <a:noFill/>
            </a:ln>
            <a:effectLst>
              <a:softEdge rad="12700"/>
            </a:effectLst>
          </c:spPr>
          <c:invertIfNegative val="1"/>
          <c:dLbls>
            <c:dLbl>
              <c:idx val="2"/>
              <c:layout>
                <c:manualLayout>
                  <c:x val="2.6612159934051647E-3"/>
                  <c:y val="8.09690608960515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74-4375-9AA5-3804601862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'Working File'!$AE$62:$AE$68</c:f>
              <c:strCache>
                <c:ptCount val="7"/>
                <c:pt idx="0">
                  <c:v>Sat</c:v>
                </c:pt>
                <c:pt idx="1">
                  <c:v>Sun</c:v>
                </c:pt>
                <c:pt idx="2">
                  <c:v>Mon</c:v>
                </c:pt>
                <c:pt idx="3">
                  <c:v>Tue</c:v>
                </c:pt>
                <c:pt idx="4">
                  <c:v>Wed</c:v>
                </c:pt>
                <c:pt idx="5">
                  <c:v>Thu</c:v>
                </c:pt>
                <c:pt idx="6">
                  <c:v>Fri</c:v>
                </c:pt>
              </c:strCache>
            </c:strRef>
          </c:cat>
          <c:val>
            <c:numRef>
              <c:f>'Working File'!$AD$62:$AD$68</c:f>
              <c:numCache>
                <c:formatCode>0%</c:formatCode>
                <c:ptCount val="7"/>
                <c:pt idx="0">
                  <c:v>2.207404146972651E-2</c:v>
                </c:pt>
                <c:pt idx="1">
                  <c:v>-7.1527880249217093E-2</c:v>
                </c:pt>
                <c:pt idx="2">
                  <c:v>0.19030030680892904</c:v>
                </c:pt>
                <c:pt idx="3">
                  <c:v>6.040660234087418E-2</c:v>
                </c:pt>
                <c:pt idx="4">
                  <c:v>0.10353102808722092</c:v>
                </c:pt>
                <c:pt idx="5">
                  <c:v>-0.16888295146862753</c:v>
                </c:pt>
                <c:pt idx="6">
                  <c:v>-0.25734291623425348</c:v>
                </c:pt>
              </c:numCache>
            </c:numRef>
          </c:val>
          <c:extLst>
            <c:ext xmlns:c14="http://schemas.microsoft.com/office/drawing/2007/8/2/chart" uri="{6F2FDCE9-48DA-4B69-8628-5D25D57E5C99}">
              <c14:invertSolidFillFmt>
                <c14:spPr xmlns:c14="http://schemas.microsoft.com/office/drawing/2007/8/2/chart">
                  <a:solidFill>
                    <a:srgbClr val="A6A6A6"/>
                  </a:solidFill>
                  <a:ln>
                    <a:noFill/>
                  </a:ln>
                  <a:effectLst>
                    <a:softEdge rad="12700"/>
                  </a:effectLst>
                </c14:spPr>
              </c14:invertSolidFillFmt>
            </c:ext>
            <c:ext xmlns:c16="http://schemas.microsoft.com/office/drawing/2014/chart" uri="{C3380CC4-5D6E-409C-BE32-E72D297353CC}">
              <c16:uniqueId val="{0000000F-837E-4A47-AA81-B613040FCAC2}"/>
            </c:ext>
          </c:extLst>
        </c:ser>
        <c:dLbls>
          <c:showLegendKey val="0"/>
          <c:showVal val="0"/>
          <c:showCatName val="0"/>
          <c:showSerName val="0"/>
          <c:showPercent val="0"/>
          <c:showBubbleSize val="0"/>
        </c:dLbls>
        <c:gapWidth val="150"/>
        <c:axId val="644154495"/>
        <c:axId val="644154975"/>
      </c:barChart>
      <c:lineChart>
        <c:grouping val="standard"/>
        <c:varyColors val="0"/>
        <c:ser>
          <c:idx val="0"/>
          <c:order val="1"/>
          <c:tx>
            <c:strRef>
              <c:f>'Working File'!$X$61</c:f>
              <c:strCache>
                <c:ptCount val="1"/>
                <c:pt idx="0">
                  <c:v>SL</c:v>
                </c:pt>
              </c:strCache>
            </c:strRef>
          </c:tx>
          <c:spPr>
            <a:ln w="28575" cap="rnd">
              <a:solidFill>
                <a:schemeClr val="bg1">
                  <a:lumMod val="50000"/>
                </a:schemeClr>
              </a:solidFill>
              <a:round/>
            </a:ln>
            <a:effectLst/>
          </c:spPr>
          <c:marker>
            <c:symbol val="none"/>
          </c:marker>
          <c:dPt>
            <c:idx val="3"/>
            <c:marker>
              <c:symbol val="none"/>
            </c:marker>
            <c:bubble3D val="0"/>
            <c:extLst>
              <c:ext xmlns:c16="http://schemas.microsoft.com/office/drawing/2014/chart" uri="{C3380CC4-5D6E-409C-BE32-E72D297353CC}">
                <c16:uniqueId val="{00000014-837E-4A47-AA81-B613040FCAC2}"/>
              </c:ext>
            </c:extLst>
          </c:dPt>
          <c:dLbls>
            <c:dLbl>
              <c:idx val="0"/>
              <c:layout>
                <c:manualLayout>
                  <c:x val="-2.5238297498055597E-2"/>
                  <c:y val="-0.30792743082660967"/>
                </c:manualLayout>
              </c:layout>
              <c:tx>
                <c:rich>
                  <a:bodyPr/>
                  <a:lstStyle/>
                  <a:p>
                    <a:fld id="{7EA21EDD-C0F4-44EE-BA9C-6BE8E3C4309C}" type="VALUE">
                      <a:rPr lang="en-US">
                        <a:solidFill>
                          <a:srgbClr val="FF000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837E-4A47-AA81-B613040FCAC2}"/>
                </c:ext>
              </c:extLst>
            </c:dLbl>
            <c:dLbl>
              <c:idx val="1"/>
              <c:layout>
                <c:manualLayout>
                  <c:x val="-2.807557647657585E-2"/>
                  <c:y val="-0.22037638561137007"/>
                </c:manualLayout>
              </c:layout>
              <c:tx>
                <c:rich>
                  <a:bodyPr/>
                  <a:lstStyle/>
                  <a:p>
                    <a:fld id="{5613CD00-887B-4E70-AAB2-BF11F9A5519E}" type="VALUE">
                      <a:rPr lang="en-US" baseline="0">
                        <a:solidFill>
                          <a:srgbClr val="00B05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837E-4A47-AA81-B613040FCAC2}"/>
                </c:ext>
              </c:extLst>
            </c:dLbl>
            <c:dLbl>
              <c:idx val="2"/>
              <c:layout>
                <c:manualLayout>
                  <c:x val="-4.7502084331260885E-3"/>
                  <c:y val="-0.18898213380571058"/>
                </c:manualLayout>
              </c:layout>
              <c:tx>
                <c:rich>
                  <a:bodyPr/>
                  <a:lstStyle/>
                  <a:p>
                    <a:fld id="{3C576B39-F968-40B5-AEED-03E141DB8BFC}" type="VALUE">
                      <a:rPr lang="en-US">
                        <a:solidFill>
                          <a:srgbClr val="00B05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837E-4A47-AA81-B613040FCAC2}"/>
                </c:ext>
              </c:extLst>
            </c:dLbl>
            <c:dLbl>
              <c:idx val="3"/>
              <c:layout>
                <c:manualLayout>
                  <c:x val="-1.8241871620151017E-2"/>
                  <c:y val="-0.17025723659631301"/>
                </c:manualLayout>
              </c:layout>
              <c:tx>
                <c:rich>
                  <a:bodyPr/>
                  <a:lstStyle/>
                  <a:p>
                    <a:fld id="{2DE7949D-39F3-4538-A52A-2FB1209FF44F}" type="VALUE">
                      <a:rPr lang="en-US">
                        <a:solidFill>
                          <a:srgbClr val="00B05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4-837E-4A47-AA81-B613040FCAC2}"/>
                </c:ext>
              </c:extLst>
            </c:dLbl>
            <c:dLbl>
              <c:idx val="4"/>
              <c:layout>
                <c:manualLayout>
                  <c:x val="-4.0777642617205482E-3"/>
                  <c:y val="-0.21359305032817949"/>
                </c:manualLayout>
              </c:layout>
              <c:tx>
                <c:rich>
                  <a:bodyPr/>
                  <a:lstStyle/>
                  <a:p>
                    <a:fld id="{1C4595A1-FD70-4C5C-B1E4-5338E4058B85}" type="VALUE">
                      <a:rPr lang="en-US">
                        <a:solidFill>
                          <a:srgbClr val="00B05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837E-4A47-AA81-B613040FCAC2}"/>
                </c:ext>
              </c:extLst>
            </c:dLbl>
            <c:dLbl>
              <c:idx val="5"/>
              <c:layout>
                <c:manualLayout>
                  <c:x val="6.6574696712511081E-2"/>
                  <c:y val="-0.20443430504493654"/>
                </c:manualLayout>
              </c:layout>
              <c:tx>
                <c:rich>
                  <a:bodyPr/>
                  <a:lstStyle/>
                  <a:p>
                    <a:fld id="{AAE0D3C9-5F67-4056-9FB8-CD0E2999FD12}" type="VALUE">
                      <a:rPr lang="en-US" baseline="0">
                        <a:solidFill>
                          <a:srgbClr val="00B05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6C2-4194-BDB6-ECC33523FDF1}"/>
                </c:ext>
              </c:extLst>
            </c:dLbl>
            <c:dLbl>
              <c:idx val="6"/>
              <c:tx>
                <c:rich>
                  <a:bodyPr/>
                  <a:lstStyle/>
                  <a:p>
                    <a:fld id="{917A12DF-3AEC-42F1-A912-6E6FCD701460}" type="VALUE">
                      <a:rPr lang="en-US">
                        <a:solidFill>
                          <a:srgbClr val="00B05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019-41D1-8537-64EAE73C0BBB}"/>
                </c:ext>
              </c:extLst>
            </c:dLbl>
            <c:spPr>
              <a:noFill/>
              <a:ln>
                <a:noFill/>
              </a:ln>
              <a:effectLst/>
            </c:spPr>
            <c:txPr>
              <a:bodyPr rot="0" spcFirstLastPara="1" vertOverflow="ellipsis" vert="horz" wrap="square" lIns="38100" tIns="19050" rIns="38100" bIns="19050" anchor="ctr" anchorCtr="1">
                <a:spAutoFit/>
              </a:bodyPr>
              <a:lstStyle/>
              <a:p>
                <a:pPr>
                  <a:defRPr sz="117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File'!$AE$62:$AE$68</c:f>
              <c:strCache>
                <c:ptCount val="7"/>
                <c:pt idx="0">
                  <c:v>Sat</c:v>
                </c:pt>
                <c:pt idx="1">
                  <c:v>Sun</c:v>
                </c:pt>
                <c:pt idx="2">
                  <c:v>Mon</c:v>
                </c:pt>
                <c:pt idx="3">
                  <c:v>Tue</c:v>
                </c:pt>
                <c:pt idx="4">
                  <c:v>Wed</c:v>
                </c:pt>
                <c:pt idx="5">
                  <c:v>Thu</c:v>
                </c:pt>
                <c:pt idx="6">
                  <c:v>Fri</c:v>
                </c:pt>
              </c:strCache>
            </c:strRef>
          </c:cat>
          <c:val>
            <c:numRef>
              <c:f>'Working File'!$X$62:$X$68</c:f>
              <c:numCache>
                <c:formatCode>0.00%</c:formatCode>
                <c:ptCount val="7"/>
                <c:pt idx="0">
                  <c:v>0.74</c:v>
                </c:pt>
                <c:pt idx="1">
                  <c:v>0.87</c:v>
                </c:pt>
                <c:pt idx="2">
                  <c:v>0.83</c:v>
                </c:pt>
                <c:pt idx="3">
                  <c:v>0.92</c:v>
                </c:pt>
                <c:pt idx="4">
                  <c:v>0.9</c:v>
                </c:pt>
                <c:pt idx="5">
                  <c:v>0.91</c:v>
                </c:pt>
                <c:pt idx="6">
                  <c:v>0.88</c:v>
                </c:pt>
              </c:numCache>
            </c:numRef>
          </c:val>
          <c:smooth val="1"/>
          <c:extLst>
            <c:ext xmlns:c16="http://schemas.microsoft.com/office/drawing/2014/chart" uri="{C3380CC4-5D6E-409C-BE32-E72D297353CC}">
              <c16:uniqueId val="{00000010-837E-4A47-AA81-B613040FCAC2}"/>
            </c:ext>
          </c:extLst>
        </c:ser>
        <c:dLbls>
          <c:showLegendKey val="0"/>
          <c:showVal val="0"/>
          <c:showCatName val="0"/>
          <c:showSerName val="0"/>
          <c:showPercent val="0"/>
          <c:showBubbleSize val="0"/>
        </c:dLbls>
        <c:marker val="1"/>
        <c:smooth val="0"/>
        <c:axId val="1090247376"/>
        <c:axId val="1090240656"/>
      </c:lineChart>
      <c:catAx>
        <c:axId val="64415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644154975"/>
        <c:crosses val="autoZero"/>
        <c:auto val="1"/>
        <c:lblAlgn val="ctr"/>
        <c:lblOffset val="100"/>
        <c:noMultiLvlLbl val="0"/>
      </c:catAx>
      <c:valAx>
        <c:axId val="6441549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495"/>
        <c:crosses val="autoZero"/>
        <c:crossBetween val="between"/>
      </c:valAx>
      <c:valAx>
        <c:axId val="10902406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247376"/>
        <c:crosses val="max"/>
        <c:crossBetween val="between"/>
      </c:valAx>
      <c:catAx>
        <c:axId val="1090247376"/>
        <c:scaling>
          <c:orientation val="minMax"/>
        </c:scaling>
        <c:delete val="1"/>
        <c:axPos val="b"/>
        <c:numFmt formatCode="General" sourceLinked="1"/>
        <c:majorTickMark val="out"/>
        <c:minorTickMark val="none"/>
        <c:tickLblPos val="nextTo"/>
        <c:crossAx val="10902406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0" i="0">
                <a:solidFill>
                  <a:schemeClr val="tx1">
                    <a:lumMod val="50000"/>
                    <a:lumOff val="50000"/>
                  </a:schemeClr>
                </a:solidFill>
                <a:effectLst/>
              </a:rPr>
              <a:t>Week 16: Actual vs Forecast Volume by Queue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'Working File'!$X$33</c:f>
              <c:strCache>
                <c:ptCount val="1"/>
                <c:pt idx="0">
                  <c:v>Forecasted Volume</c:v>
                </c:pt>
              </c:strCache>
            </c:strRef>
          </c:tx>
          <c:spPr>
            <a:solidFill>
              <a:srgbClr val="FF5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File'!$W$34:$W$41</c:f>
              <c:strCache>
                <c:ptCount val="8"/>
                <c:pt idx="0">
                  <c:v>Equipment</c:v>
                </c:pt>
                <c:pt idx="1">
                  <c:v>Delivery</c:v>
                </c:pt>
                <c:pt idx="2">
                  <c:v>Credit</c:v>
                </c:pt>
                <c:pt idx="3">
                  <c:v>myCCA</c:v>
                </c:pt>
                <c:pt idx="4">
                  <c:v>Consumer</c:v>
                </c:pt>
                <c:pt idx="5">
                  <c:v>Sales</c:v>
                </c:pt>
                <c:pt idx="6">
                  <c:v>New Business</c:v>
                </c:pt>
                <c:pt idx="7">
                  <c:v>Grinders</c:v>
                </c:pt>
              </c:strCache>
            </c:strRef>
          </c:cat>
          <c:val>
            <c:numRef>
              <c:f>'Working File'!$X$34:$X$41</c:f>
              <c:numCache>
                <c:formatCode>0</c:formatCode>
                <c:ptCount val="8"/>
                <c:pt idx="0">
                  <c:v>1530.2756028814083</c:v>
                </c:pt>
                <c:pt idx="1">
                  <c:v>1177.758952590774</c:v>
                </c:pt>
                <c:pt idx="2">
                  <c:v>522.02782748205436</c:v>
                </c:pt>
                <c:pt idx="3">
                  <c:v>88.798764265019884</c:v>
                </c:pt>
                <c:pt idx="4">
                  <c:v>200.63472825576417</c:v>
                </c:pt>
                <c:pt idx="5">
                  <c:v>796.8489022911059</c:v>
                </c:pt>
                <c:pt idx="6">
                  <c:v>62.659998596114796</c:v>
                </c:pt>
                <c:pt idx="7">
                  <c:v>53.072740425408419</c:v>
                </c:pt>
              </c:numCache>
            </c:numRef>
          </c:val>
          <c:extLst>
            <c:ext xmlns:c16="http://schemas.microsoft.com/office/drawing/2014/chart" uri="{C3380CC4-5D6E-409C-BE32-E72D297353CC}">
              <c16:uniqueId val="{00000002-46F3-44DB-926A-7EB918CD46CF}"/>
            </c:ext>
          </c:extLst>
        </c:ser>
        <c:ser>
          <c:idx val="2"/>
          <c:order val="1"/>
          <c:tx>
            <c:strRef>
              <c:f>'Working File'!$Y$33</c:f>
              <c:strCache>
                <c:ptCount val="1"/>
                <c:pt idx="0">
                  <c:v>Actual Volume</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File'!$W$34:$W$41</c:f>
              <c:strCache>
                <c:ptCount val="8"/>
                <c:pt idx="0">
                  <c:v>Equipment</c:v>
                </c:pt>
                <c:pt idx="1">
                  <c:v>Delivery</c:v>
                </c:pt>
                <c:pt idx="2">
                  <c:v>Credit</c:v>
                </c:pt>
                <c:pt idx="3">
                  <c:v>myCCA</c:v>
                </c:pt>
                <c:pt idx="4">
                  <c:v>Consumer</c:v>
                </c:pt>
                <c:pt idx="5">
                  <c:v>Sales</c:v>
                </c:pt>
                <c:pt idx="6">
                  <c:v>New Business</c:v>
                </c:pt>
                <c:pt idx="7">
                  <c:v>Grinders</c:v>
                </c:pt>
              </c:strCache>
            </c:strRef>
          </c:cat>
          <c:val>
            <c:numRef>
              <c:f>'Working File'!$Y$34:$Y$41</c:f>
              <c:numCache>
                <c:formatCode>General</c:formatCode>
                <c:ptCount val="8"/>
                <c:pt idx="0">
                  <c:v>1816</c:v>
                </c:pt>
                <c:pt idx="1">
                  <c:v>1233</c:v>
                </c:pt>
                <c:pt idx="2">
                  <c:v>978</c:v>
                </c:pt>
                <c:pt idx="3">
                  <c:v>180</c:v>
                </c:pt>
                <c:pt idx="4">
                  <c:v>283</c:v>
                </c:pt>
                <c:pt idx="5">
                  <c:v>1137</c:v>
                </c:pt>
                <c:pt idx="6">
                  <c:v>74</c:v>
                </c:pt>
                <c:pt idx="7">
                  <c:v>72</c:v>
                </c:pt>
              </c:numCache>
            </c:numRef>
          </c:val>
          <c:extLst>
            <c:ext xmlns:c16="http://schemas.microsoft.com/office/drawing/2014/chart" uri="{C3380CC4-5D6E-409C-BE32-E72D297353CC}">
              <c16:uniqueId val="{00000004-46F3-44DB-926A-7EB918CD46CF}"/>
            </c:ext>
          </c:extLst>
        </c:ser>
        <c:dLbls>
          <c:showLegendKey val="0"/>
          <c:showVal val="0"/>
          <c:showCatName val="0"/>
          <c:showSerName val="0"/>
          <c:showPercent val="0"/>
          <c:showBubbleSize val="0"/>
        </c:dLbls>
        <c:gapWidth val="120"/>
        <c:axId val="644154495"/>
        <c:axId val="644154975"/>
      </c:barChart>
      <c:catAx>
        <c:axId val="64415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975"/>
        <c:crosses val="autoZero"/>
        <c:auto val="1"/>
        <c:lblAlgn val="ctr"/>
        <c:lblOffset val="100"/>
        <c:noMultiLvlLbl val="0"/>
      </c:catAx>
      <c:valAx>
        <c:axId val="6441549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0" i="0">
                <a:effectLst/>
              </a:rPr>
              <a:t>Week 16: Volume: Where We Are Under or Over Forecast</a:t>
            </a:r>
          </a:p>
        </c:rich>
      </c:tx>
      <c:layout>
        <c:manualLayout>
          <c:xMode val="edge"/>
          <c:yMode val="edge"/>
          <c:x val="0.17007866856940634"/>
          <c:y val="2.1016005260068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20147145605711"/>
          <c:y val="0.16994758710762883"/>
          <c:w val="0.69700698016292861"/>
          <c:h val="0.68578395692762295"/>
        </c:manualLayout>
      </c:layout>
      <c:barChart>
        <c:barDir val="bar"/>
        <c:grouping val="clustered"/>
        <c:varyColors val="0"/>
        <c:ser>
          <c:idx val="2"/>
          <c:order val="1"/>
          <c:tx>
            <c:strRef>
              <c:f>'Working File'!$Y$46</c:f>
              <c:strCache>
                <c:ptCount val="1"/>
                <c:pt idx="0">
                  <c:v>Change</c:v>
                </c:pt>
              </c:strCache>
            </c:strRef>
          </c:tx>
          <c:spPr>
            <a:solidFill>
              <a:srgbClr val="FF00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File'!$W$47:$W$54</c:f>
              <c:strCache>
                <c:ptCount val="8"/>
                <c:pt idx="0">
                  <c:v>Equipment</c:v>
                </c:pt>
                <c:pt idx="1">
                  <c:v>Delivery</c:v>
                </c:pt>
                <c:pt idx="2">
                  <c:v>Credit</c:v>
                </c:pt>
                <c:pt idx="3">
                  <c:v>myCCA</c:v>
                </c:pt>
                <c:pt idx="4">
                  <c:v>Consumer</c:v>
                </c:pt>
                <c:pt idx="5">
                  <c:v>Sales</c:v>
                </c:pt>
                <c:pt idx="6">
                  <c:v>New Business</c:v>
                </c:pt>
                <c:pt idx="7">
                  <c:v>Grinders</c:v>
                </c:pt>
              </c:strCache>
            </c:strRef>
          </c:cat>
          <c:val>
            <c:numRef>
              <c:f>'Working File'!$Y$47:$Y$54</c:f>
              <c:numCache>
                <c:formatCode>0%</c:formatCode>
                <c:ptCount val="8"/>
                <c:pt idx="0">
                  <c:v>0.18671433863324452</c:v>
                </c:pt>
                <c:pt idx="1">
                  <c:v>4.69035257916822E-2</c:v>
                </c:pt>
                <c:pt idx="2">
                  <c:v>0.87346334527275848</c:v>
                </c:pt>
                <c:pt idx="3">
                  <c:v>1.0270552353948312</c:v>
                </c:pt>
                <c:pt idx="4">
                  <c:v>0.41052350438174701</c:v>
                </c:pt>
                <c:pt idx="5">
                  <c:v>0.42687025950702717</c:v>
                </c:pt>
                <c:pt idx="6">
                  <c:v>0.18097672610845439</c:v>
                </c:pt>
                <c:pt idx="7">
                  <c:v>0.356628646323494</c:v>
                </c:pt>
              </c:numCache>
            </c:numRef>
          </c:val>
          <c:extLst xmlns:c15="http://schemas.microsoft.com/office/drawing/2012/chart">
            <c:ext xmlns:c14="http://schemas.microsoft.com/office/drawing/2007/8/2/chart" uri="{6F2FDCE9-48DA-4B69-8628-5D25D57E5C99}">
              <c14:invertSolidFillFmt>
                <c14:spPr xmlns:c14="http://schemas.microsoft.com/office/drawing/2007/8/2/chart">
                  <a:solidFill>
                    <a:srgbClr val="7F7F7F"/>
                  </a:solidFill>
                  <a:ln>
                    <a:noFill/>
                  </a:ln>
                  <a:effectLst/>
                </c14:spPr>
              </c14:invertSolidFillFmt>
            </c:ext>
            <c:ext xmlns:c16="http://schemas.microsoft.com/office/drawing/2014/chart" uri="{C3380CC4-5D6E-409C-BE32-E72D297353CC}">
              <c16:uniqueId val="{00000005-2956-4B95-946B-4667C0907FA7}"/>
            </c:ext>
          </c:extLst>
        </c:ser>
        <c:dLbls>
          <c:showLegendKey val="0"/>
          <c:showVal val="0"/>
          <c:showCatName val="0"/>
          <c:showSerName val="0"/>
          <c:showPercent val="0"/>
          <c:showBubbleSize val="0"/>
        </c:dLbls>
        <c:gapWidth val="120"/>
        <c:axId val="644154495"/>
        <c:axId val="644154975"/>
        <c:extLst>
          <c:ext xmlns:c15="http://schemas.microsoft.com/office/drawing/2012/chart" uri="{02D57815-91ED-43cb-92C2-25804820EDAC}">
            <c15:filteredBarSeries>
              <c15:ser>
                <c:idx val="1"/>
                <c:order val="0"/>
                <c:tx>
                  <c:strRef>
                    <c:extLst>
                      <c:ext uri="{02D57815-91ED-43cb-92C2-25804820EDAC}">
                        <c15:formulaRef>
                          <c15:sqref>'Working File'!$X$46</c15:sqref>
                        </c15:formulaRef>
                      </c:ext>
                    </c:extLst>
                    <c:strCache>
                      <c:ptCount val="1"/>
                    </c:strCache>
                  </c:strRef>
                </c:tx>
                <c:spPr>
                  <a:solidFill>
                    <a:schemeClr val="accent2"/>
                  </a:solidFill>
                  <a:ln>
                    <a:noFill/>
                  </a:ln>
                  <a:effectLst/>
                </c:spPr>
                <c:invertIfNegative val="0"/>
                <c:cat>
                  <c:strRef>
                    <c:extLst>
                      <c:ext uri="{02D57815-91ED-43cb-92C2-25804820EDAC}">
                        <c15:formulaRef>
                          <c15:sqref>'Working File'!$W$47:$W$54</c15:sqref>
                        </c15:formulaRef>
                      </c:ext>
                    </c:extLst>
                    <c:strCache>
                      <c:ptCount val="8"/>
                      <c:pt idx="0">
                        <c:v>Equipment</c:v>
                      </c:pt>
                      <c:pt idx="1">
                        <c:v>Delivery</c:v>
                      </c:pt>
                      <c:pt idx="2">
                        <c:v>Credit</c:v>
                      </c:pt>
                      <c:pt idx="3">
                        <c:v>myCCA</c:v>
                      </c:pt>
                      <c:pt idx="4">
                        <c:v>Consumer</c:v>
                      </c:pt>
                      <c:pt idx="5">
                        <c:v>Sales</c:v>
                      </c:pt>
                      <c:pt idx="6">
                        <c:v>New Business</c:v>
                      </c:pt>
                      <c:pt idx="7">
                        <c:v>Grinders</c:v>
                      </c:pt>
                    </c:strCache>
                  </c:strRef>
                </c:cat>
                <c:val>
                  <c:numRef>
                    <c:extLst>
                      <c:ext uri="{02D57815-91ED-43cb-92C2-25804820EDAC}">
                        <c15:formulaRef>
                          <c15:sqref>'Working File'!$X$47:$X$54</c15:sqref>
                        </c15:formulaRef>
                      </c:ext>
                    </c:extLst>
                    <c:numCache>
                      <c:formatCode>General</c:formatCode>
                      <c:ptCount val="8"/>
                    </c:numCache>
                  </c:numRef>
                </c:val>
                <c:extLst>
                  <c:ext xmlns:c16="http://schemas.microsoft.com/office/drawing/2014/chart" uri="{C3380CC4-5D6E-409C-BE32-E72D297353CC}">
                    <c16:uniqueId val="{00000003-2956-4B95-946B-4667C0907FA7}"/>
                  </c:ext>
                </c:extLst>
              </c15:ser>
            </c15:filteredBarSeries>
          </c:ext>
        </c:extLst>
      </c:barChart>
      <c:catAx>
        <c:axId val="64415449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975"/>
        <c:crosses val="autoZero"/>
        <c:auto val="1"/>
        <c:lblAlgn val="ctr"/>
        <c:lblOffset val="200"/>
        <c:noMultiLvlLbl val="0"/>
      </c:catAx>
      <c:valAx>
        <c:axId val="644154975"/>
        <c:scaling>
          <c:orientation val="minMax"/>
          <c:min val="-2"/>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0" i="0">
                <a:effectLst/>
              </a:rPr>
              <a:t>Week 15: Service Level vs % Volume Variance to Forecast </a:t>
            </a:r>
          </a:p>
        </c:rich>
      </c:tx>
      <c:layout>
        <c:manualLayout>
          <c:xMode val="edge"/>
          <c:yMode val="edge"/>
          <c:x val="0.3054100414152624"/>
          <c:y val="4.373213482031774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946313260051666E-2"/>
          <c:y val="0.16579857909480633"/>
          <c:w val="0.88931913003218543"/>
          <c:h val="0.77471391076115481"/>
        </c:manualLayout>
      </c:layout>
      <c:barChart>
        <c:barDir val="col"/>
        <c:grouping val="clustered"/>
        <c:varyColors val="0"/>
        <c:ser>
          <c:idx val="5"/>
          <c:order val="0"/>
          <c:tx>
            <c:strRef>
              <c:f>'Working File (2)'!$AC$61</c:f>
              <c:strCache>
                <c:ptCount val="1"/>
                <c:pt idx="0">
                  <c:v>Volume Variance</c:v>
                </c:pt>
              </c:strCache>
            </c:strRef>
          </c:tx>
          <c:spPr>
            <a:solidFill>
              <a:srgbClr val="FF5050"/>
            </a:solidFill>
            <a:ln>
              <a:noFill/>
            </a:ln>
            <a:effectLst>
              <a:softEdge rad="12700"/>
            </a:effectLst>
          </c:spPr>
          <c:invertIfNegative val="1"/>
          <c:dLbls>
            <c:dLbl>
              <c:idx val="2"/>
              <c:layout>
                <c:manualLayout>
                  <c:x val="-9.2319586604585017E-17"/>
                  <c:y val="-3.46441151181301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35-4C13-BEB1-68F3A0D91E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File (2)'!$AD$62:$AD$67</c:f>
              <c:strCache>
                <c:ptCount val="6"/>
                <c:pt idx="0">
                  <c:v>Sat</c:v>
                </c:pt>
                <c:pt idx="1">
                  <c:v>Sun</c:v>
                </c:pt>
                <c:pt idx="2">
                  <c:v>Mon</c:v>
                </c:pt>
                <c:pt idx="3">
                  <c:v>Tue</c:v>
                </c:pt>
                <c:pt idx="4">
                  <c:v>Wed</c:v>
                </c:pt>
                <c:pt idx="5">
                  <c:v>Thu</c:v>
                </c:pt>
              </c:strCache>
            </c:strRef>
          </c:cat>
          <c:val>
            <c:numRef>
              <c:f>'Working File (2)'!$AC$62:$AC$67</c:f>
              <c:numCache>
                <c:formatCode>0%</c:formatCode>
                <c:ptCount val="6"/>
                <c:pt idx="0">
                  <c:v>2.207404146972651E-2</c:v>
                </c:pt>
                <c:pt idx="1">
                  <c:v>-7.1527880249217093E-2</c:v>
                </c:pt>
                <c:pt idx="2">
                  <c:v>0.19030030680892904</c:v>
                </c:pt>
                <c:pt idx="3">
                  <c:v>6.040660234087418E-2</c:v>
                </c:pt>
                <c:pt idx="4">
                  <c:v>0.10353102808722092</c:v>
                </c:pt>
                <c:pt idx="5">
                  <c:v>-0.16888295146862753</c:v>
                </c:pt>
              </c:numCache>
            </c:numRef>
          </c:val>
          <c:extLst>
            <c:ext xmlns:c14="http://schemas.microsoft.com/office/drawing/2007/8/2/chart" uri="{6F2FDCE9-48DA-4B69-8628-5D25D57E5C99}">
              <c14:invertSolidFillFmt>
                <c14:spPr xmlns:c14="http://schemas.microsoft.com/office/drawing/2007/8/2/chart">
                  <a:solidFill>
                    <a:srgbClr val="A6A6A6"/>
                  </a:solidFill>
                  <a:ln>
                    <a:noFill/>
                  </a:ln>
                  <a:effectLst>
                    <a:softEdge rad="12700"/>
                  </a:effectLst>
                </c14:spPr>
              </c14:invertSolidFillFmt>
            </c:ext>
            <c:ext xmlns:c16="http://schemas.microsoft.com/office/drawing/2014/chart" uri="{C3380CC4-5D6E-409C-BE32-E72D297353CC}">
              <c16:uniqueId val="{00000001-DB35-4C13-BEB1-68F3A0D91EDE}"/>
            </c:ext>
          </c:extLst>
        </c:ser>
        <c:dLbls>
          <c:showLegendKey val="0"/>
          <c:showVal val="0"/>
          <c:showCatName val="0"/>
          <c:showSerName val="0"/>
          <c:showPercent val="0"/>
          <c:showBubbleSize val="0"/>
        </c:dLbls>
        <c:gapWidth val="150"/>
        <c:axId val="644154495"/>
        <c:axId val="644154975"/>
      </c:barChart>
      <c:lineChart>
        <c:grouping val="standard"/>
        <c:varyColors val="0"/>
        <c:ser>
          <c:idx val="0"/>
          <c:order val="1"/>
          <c:tx>
            <c:strRef>
              <c:f>'Working File (2)'!$W$61</c:f>
              <c:strCache>
                <c:ptCount val="1"/>
                <c:pt idx="0">
                  <c:v>SL</c:v>
                </c:pt>
              </c:strCache>
            </c:strRef>
          </c:tx>
          <c:spPr>
            <a:ln w="28575" cap="rnd">
              <a:solidFill>
                <a:schemeClr val="bg1">
                  <a:lumMod val="50000"/>
                </a:schemeClr>
              </a:solidFill>
              <a:round/>
            </a:ln>
            <a:effectLst/>
          </c:spPr>
          <c:marker>
            <c:symbol val="none"/>
          </c:marker>
          <c:dLbls>
            <c:dLbl>
              <c:idx val="0"/>
              <c:layout>
                <c:manualLayout>
                  <c:x val="-2.5238297498055597E-2"/>
                  <c:y val="-0.30792743082660967"/>
                </c:manualLayout>
              </c:layout>
              <c:tx>
                <c:rich>
                  <a:bodyPr/>
                  <a:lstStyle/>
                  <a:p>
                    <a:fld id="{7EA21EDD-C0F4-44EE-BA9C-6BE8E3C4309C}" type="VALUE">
                      <a:rPr lang="en-US">
                        <a:solidFill>
                          <a:srgbClr val="FF000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B35-4C13-BEB1-68F3A0D91EDE}"/>
                </c:ext>
              </c:extLst>
            </c:dLbl>
            <c:dLbl>
              <c:idx val="1"/>
              <c:layout>
                <c:manualLayout>
                  <c:x val="-2.807557647657585E-2"/>
                  <c:y val="-0.22037638561137007"/>
                </c:manualLayout>
              </c:layout>
              <c:tx>
                <c:rich>
                  <a:bodyPr/>
                  <a:lstStyle/>
                  <a:p>
                    <a:fld id="{5613CD00-887B-4E70-AAB2-BF11F9A5519E}" type="VALUE">
                      <a:rPr lang="en-US">
                        <a:solidFill>
                          <a:srgbClr val="FFC00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B35-4C13-BEB1-68F3A0D91EDE}"/>
                </c:ext>
              </c:extLst>
            </c:dLbl>
            <c:dLbl>
              <c:idx val="2"/>
              <c:layout>
                <c:manualLayout>
                  <c:x val="-2.7811210977025432E-2"/>
                  <c:y val="-0.1869300833355429"/>
                </c:manualLayout>
              </c:layout>
              <c:tx>
                <c:rich>
                  <a:bodyPr/>
                  <a:lstStyle/>
                  <a:p>
                    <a:fld id="{3C576B39-F968-40B5-AEED-03E141DB8BFC}" type="VALUE">
                      <a:rPr lang="en-US">
                        <a:solidFill>
                          <a:srgbClr val="00B05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B35-4C13-BEB1-68F3A0D91EDE}"/>
                </c:ext>
              </c:extLst>
            </c:dLbl>
            <c:dLbl>
              <c:idx val="3"/>
              <c:layout>
                <c:manualLayout>
                  <c:x val="-2.8208748618190622E-2"/>
                  <c:y val="-0.15777641722247226"/>
                </c:manualLayout>
              </c:layout>
              <c:tx>
                <c:rich>
                  <a:bodyPr/>
                  <a:lstStyle/>
                  <a:p>
                    <a:fld id="{2DE7949D-39F3-4538-A52A-2FB1209FF44F}" type="VALUE">
                      <a:rPr lang="en-US">
                        <a:solidFill>
                          <a:srgbClr val="00B05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B35-4C13-BEB1-68F3A0D91EDE}"/>
                </c:ext>
              </c:extLst>
            </c:dLbl>
            <c:dLbl>
              <c:idx val="4"/>
              <c:layout>
                <c:manualLayout>
                  <c:x val="-2.7651424194924439E-2"/>
                  <c:y val="-0.15377406601761751"/>
                </c:manualLayout>
              </c:layout>
              <c:tx>
                <c:rich>
                  <a:bodyPr/>
                  <a:lstStyle/>
                  <a:p>
                    <a:fld id="{1C4595A1-FD70-4C5C-B1E4-5338E4058B85}" type="VALUE">
                      <a:rPr lang="en-US">
                        <a:solidFill>
                          <a:srgbClr val="00B05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B35-4C13-BEB1-68F3A0D91EDE}"/>
                </c:ext>
              </c:extLst>
            </c:dLbl>
            <c:dLbl>
              <c:idx val="5"/>
              <c:tx>
                <c:rich>
                  <a:bodyPr/>
                  <a:lstStyle/>
                  <a:p>
                    <a:fld id="{AAE0D3C9-5F67-4056-9FB8-CD0E2999FD12}" type="VALUE">
                      <a:rPr lang="en-US">
                        <a:solidFill>
                          <a:srgbClr val="FF000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B35-4C13-BEB1-68F3A0D91E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File (2)'!$AD$62:$AD$67</c:f>
              <c:strCache>
                <c:ptCount val="6"/>
                <c:pt idx="0">
                  <c:v>Sat</c:v>
                </c:pt>
                <c:pt idx="1">
                  <c:v>Sun</c:v>
                </c:pt>
                <c:pt idx="2">
                  <c:v>Mon</c:v>
                </c:pt>
                <c:pt idx="3">
                  <c:v>Tue</c:v>
                </c:pt>
                <c:pt idx="4">
                  <c:v>Wed</c:v>
                </c:pt>
                <c:pt idx="5">
                  <c:v>Thu</c:v>
                </c:pt>
              </c:strCache>
            </c:strRef>
          </c:cat>
          <c:val>
            <c:numRef>
              <c:f>'Working File (2)'!$W$62:$W$67</c:f>
              <c:numCache>
                <c:formatCode>0.00%</c:formatCode>
                <c:ptCount val="6"/>
                <c:pt idx="0">
                  <c:v>0.74</c:v>
                </c:pt>
                <c:pt idx="1">
                  <c:v>0.87</c:v>
                </c:pt>
                <c:pt idx="2">
                  <c:v>0.83</c:v>
                </c:pt>
                <c:pt idx="3">
                  <c:v>0.92</c:v>
                </c:pt>
                <c:pt idx="4">
                  <c:v>0.9</c:v>
                </c:pt>
                <c:pt idx="5">
                  <c:v>0.91</c:v>
                </c:pt>
              </c:numCache>
            </c:numRef>
          </c:val>
          <c:smooth val="0"/>
          <c:extLst>
            <c:ext xmlns:c16="http://schemas.microsoft.com/office/drawing/2014/chart" uri="{C3380CC4-5D6E-409C-BE32-E72D297353CC}">
              <c16:uniqueId val="{00000008-DB35-4C13-BEB1-68F3A0D91EDE}"/>
            </c:ext>
          </c:extLst>
        </c:ser>
        <c:dLbls>
          <c:showLegendKey val="0"/>
          <c:showVal val="0"/>
          <c:showCatName val="0"/>
          <c:showSerName val="0"/>
          <c:showPercent val="0"/>
          <c:showBubbleSize val="0"/>
        </c:dLbls>
        <c:marker val="1"/>
        <c:smooth val="0"/>
        <c:axId val="1090247376"/>
        <c:axId val="1090240656"/>
      </c:lineChart>
      <c:catAx>
        <c:axId val="64415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975"/>
        <c:crosses val="autoZero"/>
        <c:auto val="1"/>
        <c:lblAlgn val="ctr"/>
        <c:lblOffset val="100"/>
        <c:noMultiLvlLbl val="0"/>
      </c:catAx>
      <c:valAx>
        <c:axId val="6441549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495"/>
        <c:crosses val="autoZero"/>
        <c:crossBetween val="between"/>
      </c:valAx>
      <c:valAx>
        <c:axId val="10902406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247376"/>
        <c:crosses val="max"/>
        <c:crossBetween val="between"/>
      </c:valAx>
      <c:catAx>
        <c:axId val="1090247376"/>
        <c:scaling>
          <c:orientation val="minMax"/>
        </c:scaling>
        <c:delete val="1"/>
        <c:axPos val="b"/>
        <c:numFmt formatCode="General" sourceLinked="1"/>
        <c:majorTickMark val="out"/>
        <c:minorTickMark val="none"/>
        <c:tickLblPos val="nextTo"/>
        <c:crossAx val="10902406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0" i="0">
                <a:solidFill>
                  <a:schemeClr val="tx1">
                    <a:lumMod val="50000"/>
                    <a:lumOff val="50000"/>
                  </a:schemeClr>
                </a:solidFill>
                <a:effectLst/>
              </a:rPr>
              <a:t>Week 15: Actual vs Forecast Volume by Queue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'Working File (2)'!$W$33</c:f>
              <c:strCache>
                <c:ptCount val="1"/>
                <c:pt idx="0">
                  <c:v>Forecasted Volume</c:v>
                </c:pt>
              </c:strCache>
            </c:strRef>
          </c:tx>
          <c:spPr>
            <a:solidFill>
              <a:srgbClr val="FF5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File (2)'!$V$34:$V$41</c:f>
              <c:strCache>
                <c:ptCount val="8"/>
                <c:pt idx="0">
                  <c:v>Equipment</c:v>
                </c:pt>
                <c:pt idx="1">
                  <c:v>Delivery</c:v>
                </c:pt>
                <c:pt idx="2">
                  <c:v>Credit</c:v>
                </c:pt>
                <c:pt idx="3">
                  <c:v>myCCA</c:v>
                </c:pt>
                <c:pt idx="4">
                  <c:v>Consumer</c:v>
                </c:pt>
                <c:pt idx="5">
                  <c:v>Sales</c:v>
                </c:pt>
                <c:pt idx="6">
                  <c:v>New Business</c:v>
                </c:pt>
                <c:pt idx="7">
                  <c:v>Grinders</c:v>
                </c:pt>
              </c:strCache>
            </c:strRef>
          </c:cat>
          <c:val>
            <c:numRef>
              <c:f>'Working File (2)'!$W$34:$W$41</c:f>
              <c:numCache>
                <c:formatCode>0</c:formatCode>
                <c:ptCount val="8"/>
                <c:pt idx="0">
                  <c:v>1530.2756028814083</c:v>
                </c:pt>
                <c:pt idx="1">
                  <c:v>1177.758952590774</c:v>
                </c:pt>
                <c:pt idx="2">
                  <c:v>522.02782748205436</c:v>
                </c:pt>
                <c:pt idx="3">
                  <c:v>88.798764265019884</c:v>
                </c:pt>
                <c:pt idx="4">
                  <c:v>200.63472825576417</c:v>
                </c:pt>
                <c:pt idx="5">
                  <c:v>796.8489022911059</c:v>
                </c:pt>
                <c:pt idx="6">
                  <c:v>62.659998596114796</c:v>
                </c:pt>
                <c:pt idx="7">
                  <c:v>53.072740425408419</c:v>
                </c:pt>
              </c:numCache>
            </c:numRef>
          </c:val>
          <c:extLst>
            <c:ext xmlns:c16="http://schemas.microsoft.com/office/drawing/2014/chart" uri="{C3380CC4-5D6E-409C-BE32-E72D297353CC}">
              <c16:uniqueId val="{00000000-CB8C-4C2C-B925-E6D73BCD6422}"/>
            </c:ext>
          </c:extLst>
        </c:ser>
        <c:ser>
          <c:idx val="2"/>
          <c:order val="1"/>
          <c:tx>
            <c:strRef>
              <c:f>'Working File (2)'!$X$33</c:f>
              <c:strCache>
                <c:ptCount val="1"/>
                <c:pt idx="0">
                  <c:v>Actual Volume</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File (2)'!$V$34:$V$41</c:f>
              <c:strCache>
                <c:ptCount val="8"/>
                <c:pt idx="0">
                  <c:v>Equipment</c:v>
                </c:pt>
                <c:pt idx="1">
                  <c:v>Delivery</c:v>
                </c:pt>
                <c:pt idx="2">
                  <c:v>Credit</c:v>
                </c:pt>
                <c:pt idx="3">
                  <c:v>myCCA</c:v>
                </c:pt>
                <c:pt idx="4">
                  <c:v>Consumer</c:v>
                </c:pt>
                <c:pt idx="5">
                  <c:v>Sales</c:v>
                </c:pt>
                <c:pt idx="6">
                  <c:v>New Business</c:v>
                </c:pt>
                <c:pt idx="7">
                  <c:v>Grinders</c:v>
                </c:pt>
              </c:strCache>
            </c:strRef>
          </c:cat>
          <c:val>
            <c:numRef>
              <c:f>'Working File (2)'!$X$34:$X$41</c:f>
              <c:numCache>
                <c:formatCode>General</c:formatCode>
                <c:ptCount val="8"/>
                <c:pt idx="0">
                  <c:v>1816</c:v>
                </c:pt>
                <c:pt idx="1">
                  <c:v>1233</c:v>
                </c:pt>
                <c:pt idx="2">
                  <c:v>978</c:v>
                </c:pt>
                <c:pt idx="3">
                  <c:v>180</c:v>
                </c:pt>
                <c:pt idx="4">
                  <c:v>283</c:v>
                </c:pt>
                <c:pt idx="5">
                  <c:v>1137</c:v>
                </c:pt>
                <c:pt idx="6">
                  <c:v>74</c:v>
                </c:pt>
                <c:pt idx="7">
                  <c:v>72</c:v>
                </c:pt>
              </c:numCache>
            </c:numRef>
          </c:val>
          <c:extLst>
            <c:ext xmlns:c16="http://schemas.microsoft.com/office/drawing/2014/chart" uri="{C3380CC4-5D6E-409C-BE32-E72D297353CC}">
              <c16:uniqueId val="{00000001-CB8C-4C2C-B925-E6D73BCD6422}"/>
            </c:ext>
          </c:extLst>
        </c:ser>
        <c:dLbls>
          <c:showLegendKey val="0"/>
          <c:showVal val="0"/>
          <c:showCatName val="0"/>
          <c:showSerName val="0"/>
          <c:showPercent val="0"/>
          <c:showBubbleSize val="0"/>
        </c:dLbls>
        <c:gapWidth val="120"/>
        <c:axId val="644154495"/>
        <c:axId val="644154975"/>
      </c:barChart>
      <c:catAx>
        <c:axId val="64415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975"/>
        <c:crosses val="autoZero"/>
        <c:auto val="1"/>
        <c:lblAlgn val="ctr"/>
        <c:lblOffset val="100"/>
        <c:noMultiLvlLbl val="0"/>
      </c:catAx>
      <c:valAx>
        <c:axId val="6441549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0" i="0">
                <a:effectLst/>
              </a:rPr>
              <a:t>Week 15: Volume: Where We Are Under or Over Forecast</a:t>
            </a:r>
          </a:p>
        </c:rich>
      </c:tx>
      <c:layout>
        <c:manualLayout>
          <c:xMode val="edge"/>
          <c:yMode val="edge"/>
          <c:x val="0.17007866856940634"/>
          <c:y val="2.1016005260068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130868337357654E-2"/>
          <c:y val="0.16994758710762883"/>
          <c:w val="0.70144167630668597"/>
          <c:h val="0.68578395692762295"/>
        </c:manualLayout>
      </c:layout>
      <c:barChart>
        <c:barDir val="bar"/>
        <c:grouping val="clustered"/>
        <c:varyColors val="0"/>
        <c:ser>
          <c:idx val="2"/>
          <c:order val="1"/>
          <c:tx>
            <c:strRef>
              <c:f>'Working File (2)'!$X$46</c:f>
              <c:strCache>
                <c:ptCount val="1"/>
                <c:pt idx="0">
                  <c:v>Change</c:v>
                </c:pt>
              </c:strCache>
            </c:strRef>
          </c:tx>
          <c:spPr>
            <a:solidFill>
              <a:srgbClr val="FF00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File (2)'!$V$47:$V$54</c:f>
              <c:strCache>
                <c:ptCount val="8"/>
                <c:pt idx="0">
                  <c:v>Equipment</c:v>
                </c:pt>
                <c:pt idx="1">
                  <c:v>Delivery</c:v>
                </c:pt>
                <c:pt idx="2">
                  <c:v>Credit</c:v>
                </c:pt>
                <c:pt idx="3">
                  <c:v>myCCA</c:v>
                </c:pt>
                <c:pt idx="4">
                  <c:v>Consumer</c:v>
                </c:pt>
                <c:pt idx="5">
                  <c:v>Sales</c:v>
                </c:pt>
                <c:pt idx="6">
                  <c:v>New Business</c:v>
                </c:pt>
                <c:pt idx="7">
                  <c:v>Grinders</c:v>
                </c:pt>
              </c:strCache>
            </c:strRef>
          </c:cat>
          <c:val>
            <c:numRef>
              <c:f>'Working File (2)'!$X$47:$X$54</c:f>
              <c:numCache>
                <c:formatCode>0%</c:formatCode>
                <c:ptCount val="8"/>
                <c:pt idx="0">
                  <c:v>0.18671433863324452</c:v>
                </c:pt>
                <c:pt idx="1">
                  <c:v>4.69035257916822E-2</c:v>
                </c:pt>
                <c:pt idx="2">
                  <c:v>0.87346334527275848</c:v>
                </c:pt>
                <c:pt idx="3">
                  <c:v>1.0270552353948312</c:v>
                </c:pt>
                <c:pt idx="4">
                  <c:v>0.41052350438174701</c:v>
                </c:pt>
                <c:pt idx="5">
                  <c:v>0.42687025950702717</c:v>
                </c:pt>
                <c:pt idx="6">
                  <c:v>0.18097672610845439</c:v>
                </c:pt>
                <c:pt idx="7">
                  <c:v>0.356628646323494</c:v>
                </c:pt>
              </c:numCache>
            </c:numRef>
          </c:val>
          <c:extLst xmlns:c15="http://schemas.microsoft.com/office/drawing/2012/chart">
            <c:ext xmlns:c14="http://schemas.microsoft.com/office/drawing/2007/8/2/chart" uri="{6F2FDCE9-48DA-4B69-8628-5D25D57E5C99}">
              <c14:invertSolidFillFmt>
                <c14:spPr xmlns:c14="http://schemas.microsoft.com/office/drawing/2007/8/2/chart">
                  <a:solidFill>
                    <a:srgbClr val="7F7F7F"/>
                  </a:solidFill>
                  <a:ln>
                    <a:noFill/>
                  </a:ln>
                  <a:effectLst/>
                </c14:spPr>
              </c14:invertSolidFillFmt>
            </c:ext>
            <c:ext xmlns:c16="http://schemas.microsoft.com/office/drawing/2014/chart" uri="{C3380CC4-5D6E-409C-BE32-E72D297353CC}">
              <c16:uniqueId val="{00000000-4401-4009-9B47-AB2519D2ED04}"/>
            </c:ext>
          </c:extLst>
        </c:ser>
        <c:dLbls>
          <c:showLegendKey val="0"/>
          <c:showVal val="0"/>
          <c:showCatName val="0"/>
          <c:showSerName val="0"/>
          <c:showPercent val="0"/>
          <c:showBubbleSize val="0"/>
        </c:dLbls>
        <c:gapWidth val="120"/>
        <c:axId val="644154495"/>
        <c:axId val="644154975"/>
        <c:extLst>
          <c:ext xmlns:c15="http://schemas.microsoft.com/office/drawing/2012/chart" uri="{02D57815-91ED-43cb-92C2-25804820EDAC}">
            <c15:filteredBarSeries>
              <c15:ser>
                <c:idx val="1"/>
                <c:order val="0"/>
                <c:tx>
                  <c:strRef>
                    <c:extLst>
                      <c:ext uri="{02D57815-91ED-43cb-92C2-25804820EDAC}">
                        <c15:formulaRef>
                          <c15:sqref>'Working File (2)'!$W$46</c15:sqref>
                        </c15:formulaRef>
                      </c:ext>
                    </c:extLst>
                    <c:strCache>
                      <c:ptCount val="1"/>
                    </c:strCache>
                  </c:strRef>
                </c:tx>
                <c:spPr>
                  <a:solidFill>
                    <a:schemeClr val="accent2"/>
                  </a:solidFill>
                  <a:ln>
                    <a:noFill/>
                  </a:ln>
                  <a:effectLst/>
                </c:spPr>
                <c:invertIfNegative val="0"/>
                <c:cat>
                  <c:strRef>
                    <c:extLst>
                      <c:ext uri="{02D57815-91ED-43cb-92C2-25804820EDAC}">
                        <c15:formulaRef>
                          <c15:sqref>'Working File (2)'!$V$47:$V$54</c15:sqref>
                        </c15:formulaRef>
                      </c:ext>
                    </c:extLst>
                    <c:strCache>
                      <c:ptCount val="8"/>
                      <c:pt idx="0">
                        <c:v>Equipment</c:v>
                      </c:pt>
                      <c:pt idx="1">
                        <c:v>Delivery</c:v>
                      </c:pt>
                      <c:pt idx="2">
                        <c:v>Credit</c:v>
                      </c:pt>
                      <c:pt idx="3">
                        <c:v>myCCA</c:v>
                      </c:pt>
                      <c:pt idx="4">
                        <c:v>Consumer</c:v>
                      </c:pt>
                      <c:pt idx="5">
                        <c:v>Sales</c:v>
                      </c:pt>
                      <c:pt idx="6">
                        <c:v>New Business</c:v>
                      </c:pt>
                      <c:pt idx="7">
                        <c:v>Grinders</c:v>
                      </c:pt>
                    </c:strCache>
                  </c:strRef>
                </c:cat>
                <c:val>
                  <c:numRef>
                    <c:extLst>
                      <c:ext uri="{02D57815-91ED-43cb-92C2-25804820EDAC}">
                        <c15:formulaRef>
                          <c15:sqref>'Working File (2)'!$W$47:$W$54</c15:sqref>
                        </c15:formulaRef>
                      </c:ext>
                    </c:extLst>
                    <c:numCache>
                      <c:formatCode>General</c:formatCode>
                      <c:ptCount val="8"/>
                    </c:numCache>
                  </c:numRef>
                </c:val>
                <c:extLst>
                  <c:ext xmlns:c16="http://schemas.microsoft.com/office/drawing/2014/chart" uri="{C3380CC4-5D6E-409C-BE32-E72D297353CC}">
                    <c16:uniqueId val="{00000001-4401-4009-9B47-AB2519D2ED04}"/>
                  </c:ext>
                </c:extLst>
              </c15:ser>
            </c15:filteredBarSeries>
          </c:ext>
        </c:extLst>
      </c:barChart>
      <c:catAx>
        <c:axId val="64415449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975"/>
        <c:crosses val="autoZero"/>
        <c:auto val="1"/>
        <c:lblAlgn val="ctr"/>
        <c:lblOffset val="200"/>
        <c:noMultiLvlLbl val="0"/>
      </c:catAx>
      <c:valAx>
        <c:axId val="644154975"/>
        <c:scaling>
          <c:orientation val="minMax"/>
          <c:min val="-2"/>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324655</xdr:colOff>
      <xdr:row>17</xdr:row>
      <xdr:rowOff>688017</xdr:rowOff>
    </xdr:from>
    <xdr:to>
      <xdr:col>16</xdr:col>
      <xdr:colOff>49696</xdr:colOff>
      <xdr:row>23</xdr:row>
      <xdr:rowOff>105238</xdr:rowOff>
    </xdr:to>
    <xdr:sp macro="" textlink="">
      <xdr:nvSpPr>
        <xdr:cNvPr id="3" name="TextBox 2">
          <a:extLst>
            <a:ext uri="{FF2B5EF4-FFF2-40B4-BE49-F238E27FC236}">
              <a16:creationId xmlns:a16="http://schemas.microsoft.com/office/drawing/2014/main" id="{FA83F2D2-509B-CB7B-C89D-D58EB1943E6D}"/>
            </a:ext>
          </a:extLst>
        </xdr:cNvPr>
        <xdr:cNvSpPr txBox="1"/>
      </xdr:nvSpPr>
      <xdr:spPr>
        <a:xfrm>
          <a:off x="6544894" y="4191560"/>
          <a:ext cx="8976715" cy="12311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AU" sz="1100" b="0" i="0">
              <a:solidFill>
                <a:schemeClr val="dk1"/>
              </a:solidFill>
              <a:effectLst/>
              <a:latin typeface="+mn-lt"/>
              <a:ea typeface="+mn-ea"/>
              <a:cs typeface="+mn-cs"/>
            </a:rPr>
            <a:t>Service Level strengthened progressively through the week despite notable variation in actual demand. Weekend volumes tracked </a:t>
          </a:r>
          <a:r>
            <a:rPr lang="en-AU" sz="1100" b="1" i="0">
              <a:solidFill>
                <a:schemeClr val="dk1"/>
              </a:solidFill>
              <a:effectLst/>
              <a:latin typeface="+mn-lt"/>
              <a:ea typeface="+mn-ea"/>
              <a:cs typeface="+mn-cs"/>
            </a:rPr>
            <a:t>–11%</a:t>
          </a:r>
          <a:r>
            <a:rPr lang="en-AU" sz="1100" b="0" i="0">
              <a:solidFill>
                <a:schemeClr val="dk1"/>
              </a:solidFill>
              <a:effectLst/>
              <a:latin typeface="+mn-lt"/>
              <a:ea typeface="+mn-ea"/>
              <a:cs typeface="+mn-cs"/>
            </a:rPr>
            <a:t> and </a:t>
          </a:r>
          <a:r>
            <a:rPr lang="en-AU" sz="1100" b="1" i="0">
              <a:solidFill>
                <a:schemeClr val="dk1"/>
              </a:solidFill>
              <a:effectLst/>
              <a:latin typeface="+mn-lt"/>
              <a:ea typeface="+mn-ea"/>
              <a:cs typeface="+mn-cs"/>
            </a:rPr>
            <a:t>–3%</a:t>
          </a:r>
          <a:r>
            <a:rPr lang="en-AU" sz="1100" b="0" i="0">
              <a:solidFill>
                <a:schemeClr val="dk1"/>
              </a:solidFill>
              <a:effectLst/>
              <a:latin typeface="+mn-lt"/>
              <a:ea typeface="+mn-ea"/>
              <a:cs typeface="+mn-cs"/>
            </a:rPr>
            <a:t> below forecast, aligning with softer Service Levels of </a:t>
          </a:r>
          <a:r>
            <a:rPr lang="en-AU" sz="1100" b="1" i="0">
              <a:solidFill>
                <a:schemeClr val="dk1"/>
              </a:solidFill>
              <a:effectLst/>
              <a:latin typeface="+mn-lt"/>
              <a:ea typeface="+mn-ea"/>
              <a:cs typeface="+mn-cs"/>
            </a:rPr>
            <a:t>77%</a:t>
          </a:r>
          <a:r>
            <a:rPr lang="en-AU" sz="1100" b="0" i="0">
              <a:solidFill>
                <a:schemeClr val="dk1"/>
              </a:solidFill>
              <a:effectLst/>
              <a:latin typeface="+mn-lt"/>
              <a:ea typeface="+mn-ea"/>
              <a:cs typeface="+mn-cs"/>
            </a:rPr>
            <a:t> and </a:t>
          </a:r>
          <a:r>
            <a:rPr lang="en-AU" sz="1100" b="1" i="0">
              <a:solidFill>
                <a:schemeClr val="dk1"/>
              </a:solidFill>
              <a:effectLst/>
              <a:latin typeface="+mn-lt"/>
              <a:ea typeface="+mn-ea"/>
              <a:cs typeface="+mn-cs"/>
            </a:rPr>
            <a:t>69%</a:t>
          </a:r>
          <a:r>
            <a:rPr lang="en-AU" sz="1100" b="0" i="0">
              <a:solidFill>
                <a:schemeClr val="dk1"/>
              </a:solidFill>
              <a:effectLst/>
              <a:latin typeface="+mn-lt"/>
              <a:ea typeface="+mn-ea"/>
              <a:cs typeface="+mn-cs"/>
            </a:rPr>
            <a:t>. As volume increased to </a:t>
          </a:r>
          <a:r>
            <a:rPr lang="en-AU" sz="1100" b="1" i="0">
              <a:solidFill>
                <a:schemeClr val="dk1"/>
              </a:solidFill>
              <a:effectLst/>
              <a:latin typeface="+mn-lt"/>
              <a:ea typeface="+mn-ea"/>
              <a:cs typeface="+mn-cs"/>
            </a:rPr>
            <a:t>+18% above forecast on Monday</a:t>
          </a:r>
          <a:r>
            <a:rPr lang="en-AU" sz="1100" b="0" i="0">
              <a:solidFill>
                <a:schemeClr val="dk1"/>
              </a:solidFill>
              <a:effectLst/>
              <a:latin typeface="+mn-lt"/>
              <a:ea typeface="+mn-ea"/>
              <a:cs typeface="+mn-cs"/>
            </a:rPr>
            <a:t>, the operation maintained a stable </a:t>
          </a:r>
          <a:r>
            <a:rPr lang="en-AU" sz="1100" b="1" i="0">
              <a:solidFill>
                <a:schemeClr val="dk1"/>
              </a:solidFill>
              <a:effectLst/>
              <a:latin typeface="+mn-lt"/>
              <a:ea typeface="+mn-ea"/>
              <a:cs typeface="+mn-cs"/>
            </a:rPr>
            <a:t>73% SL</a:t>
          </a:r>
          <a:r>
            <a:rPr lang="en-AU" sz="1100" b="0" i="0">
              <a:solidFill>
                <a:schemeClr val="dk1"/>
              </a:solidFill>
              <a:effectLst/>
              <a:latin typeface="+mn-lt"/>
              <a:ea typeface="+mn-ea"/>
              <a:cs typeface="+mn-cs"/>
            </a:rPr>
            <a:t>, demonstrating effective load management under higher traffic.Mid‑week performance was the strongest, with Tuesday and Wednesday delivering </a:t>
          </a:r>
          <a:r>
            <a:rPr lang="en-AU" sz="1100" b="1" i="0">
              <a:solidFill>
                <a:schemeClr val="dk1"/>
              </a:solidFill>
              <a:effectLst/>
              <a:latin typeface="+mn-lt"/>
              <a:ea typeface="+mn-ea"/>
              <a:cs typeface="+mn-cs"/>
            </a:rPr>
            <a:t>84%</a:t>
          </a:r>
          <a:r>
            <a:rPr lang="en-AU" sz="1100" b="0" i="0">
              <a:solidFill>
                <a:schemeClr val="dk1"/>
              </a:solidFill>
              <a:effectLst/>
              <a:latin typeface="+mn-lt"/>
              <a:ea typeface="+mn-ea"/>
              <a:cs typeface="+mn-cs"/>
            </a:rPr>
            <a:t> and </a:t>
          </a:r>
          <a:r>
            <a:rPr lang="en-AU" sz="1100" b="1" i="0">
              <a:solidFill>
                <a:schemeClr val="dk1"/>
              </a:solidFill>
              <a:effectLst/>
              <a:latin typeface="+mn-lt"/>
              <a:ea typeface="+mn-ea"/>
              <a:cs typeface="+mn-cs"/>
            </a:rPr>
            <a:t>89%</a:t>
          </a:r>
          <a:r>
            <a:rPr lang="en-AU" sz="1100" b="0" i="0">
              <a:solidFill>
                <a:schemeClr val="dk1"/>
              </a:solidFill>
              <a:effectLst/>
              <a:latin typeface="+mn-lt"/>
              <a:ea typeface="+mn-ea"/>
              <a:cs typeface="+mn-cs"/>
            </a:rPr>
            <a:t> SL against volume variances of </a:t>
          </a:r>
          <a:r>
            <a:rPr lang="en-AU" sz="1100" b="1" i="0">
              <a:solidFill>
                <a:schemeClr val="dk1"/>
              </a:solidFill>
              <a:effectLst/>
              <a:latin typeface="+mn-lt"/>
              <a:ea typeface="+mn-ea"/>
              <a:cs typeface="+mn-cs"/>
            </a:rPr>
            <a:t>+5%</a:t>
          </a:r>
          <a:r>
            <a:rPr lang="en-AU" sz="1100" b="0" i="0">
              <a:solidFill>
                <a:schemeClr val="dk1"/>
              </a:solidFill>
              <a:effectLst/>
              <a:latin typeface="+mn-lt"/>
              <a:ea typeface="+mn-ea"/>
              <a:cs typeface="+mn-cs"/>
            </a:rPr>
            <a:t> and </a:t>
          </a:r>
          <a:r>
            <a:rPr lang="en-AU" sz="1100" b="1" i="0">
              <a:solidFill>
                <a:schemeClr val="dk1"/>
              </a:solidFill>
              <a:effectLst/>
              <a:latin typeface="+mn-lt"/>
              <a:ea typeface="+mn-ea"/>
              <a:cs typeface="+mn-cs"/>
            </a:rPr>
            <a:t>–7%</a:t>
          </a:r>
          <a:r>
            <a:rPr lang="en-AU" sz="1100" b="0" i="0">
              <a:solidFill>
                <a:schemeClr val="dk1"/>
              </a:solidFill>
              <a:effectLst/>
              <a:latin typeface="+mn-lt"/>
              <a:ea typeface="+mn-ea"/>
              <a:cs typeface="+mn-cs"/>
            </a:rPr>
            <a:t>. This reflects solid staffing alignment, efficient queue allocation, and consistent operational discipline.Overall, Week 13 showed </a:t>
          </a:r>
          <a:r>
            <a:rPr lang="en-AU" sz="1100" b="1" i="0">
              <a:solidFill>
                <a:schemeClr val="dk1"/>
              </a:solidFill>
              <a:effectLst/>
              <a:latin typeface="+mn-lt"/>
              <a:ea typeface="+mn-ea"/>
              <a:cs typeface="+mn-cs"/>
            </a:rPr>
            <a:t>resilient Service Level performance across fluctuating demand</a:t>
          </a:r>
          <a:r>
            <a:rPr lang="en-AU" sz="1100" b="0" i="0">
              <a:solidFill>
                <a:schemeClr val="dk1"/>
              </a:solidFill>
              <a:effectLst/>
              <a:latin typeface="+mn-lt"/>
              <a:ea typeface="+mn-ea"/>
              <a:cs typeface="+mn-cs"/>
            </a:rPr>
            <a:t>, with mid‑week operations highlighting the most optimal balance of capacity and workload.</a:t>
          </a:r>
        </a:p>
        <a:p>
          <a:endParaRPr lang="en-AU" sz="1100"/>
        </a:p>
      </xdr:txBody>
    </xdr:sp>
    <xdr:clientData/>
  </xdr:twoCellAnchor>
  <xdr:twoCellAnchor>
    <xdr:from>
      <xdr:col>0</xdr:col>
      <xdr:colOff>324971</xdr:colOff>
      <xdr:row>0</xdr:row>
      <xdr:rowOff>179294</xdr:rowOff>
    </xdr:from>
    <xdr:to>
      <xdr:col>8</xdr:col>
      <xdr:colOff>246530</xdr:colOff>
      <xdr:row>17</xdr:row>
      <xdr:rowOff>44823</xdr:rowOff>
    </xdr:to>
    <xdr:sp macro="" textlink="">
      <xdr:nvSpPr>
        <xdr:cNvPr id="2" name="Rectangle: Rounded Corners 1">
          <a:extLst>
            <a:ext uri="{FF2B5EF4-FFF2-40B4-BE49-F238E27FC236}">
              <a16:creationId xmlns:a16="http://schemas.microsoft.com/office/drawing/2014/main" id="{5D722C4E-A259-FDED-0B8D-936DBFFC3FB4}"/>
            </a:ext>
          </a:extLst>
        </xdr:cNvPr>
        <xdr:cNvSpPr/>
      </xdr:nvSpPr>
      <xdr:spPr>
        <a:xfrm>
          <a:off x="324971" y="179294"/>
          <a:ext cx="6645088" cy="3328147"/>
        </a:xfrm>
        <a:prstGeom prst="roundRect">
          <a:avLst/>
        </a:prstGeom>
        <a:solidFill>
          <a:srgbClr val="00B050">
            <a:alpha val="0"/>
          </a:srgb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80496</xdr:colOff>
      <xdr:row>12</xdr:row>
      <xdr:rowOff>161392</xdr:rowOff>
    </xdr:from>
    <xdr:to>
      <xdr:col>20</xdr:col>
      <xdr:colOff>2272048</xdr:colOff>
      <xdr:row>45</xdr:row>
      <xdr:rowOff>63731</xdr:rowOff>
    </xdr:to>
    <xdr:graphicFrame macro="">
      <xdr:nvGraphicFramePr>
        <xdr:cNvPr id="2" name="Chart 1">
          <a:extLst>
            <a:ext uri="{FF2B5EF4-FFF2-40B4-BE49-F238E27FC236}">
              <a16:creationId xmlns:a16="http://schemas.microsoft.com/office/drawing/2014/main" id="{C46DB729-90A9-4EEE-88DB-D8864D0F1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7773</xdr:colOff>
      <xdr:row>51</xdr:row>
      <xdr:rowOff>159837</xdr:rowOff>
    </xdr:from>
    <xdr:to>
      <xdr:col>10</xdr:col>
      <xdr:colOff>134291</xdr:colOff>
      <xdr:row>73</xdr:row>
      <xdr:rowOff>17650</xdr:rowOff>
    </xdr:to>
    <xdr:graphicFrame macro="">
      <xdr:nvGraphicFramePr>
        <xdr:cNvPr id="3" name="Chart 2">
          <a:extLst>
            <a:ext uri="{FF2B5EF4-FFF2-40B4-BE49-F238E27FC236}">
              <a16:creationId xmlns:a16="http://schemas.microsoft.com/office/drawing/2014/main" id="{CA6AAB1F-1D51-4C3D-A8FC-D68F9418E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91138</xdr:colOff>
      <xdr:row>51</xdr:row>
      <xdr:rowOff>183735</xdr:rowOff>
    </xdr:from>
    <xdr:to>
      <xdr:col>18</xdr:col>
      <xdr:colOff>1451675</xdr:colOff>
      <xdr:row>73</xdr:row>
      <xdr:rowOff>44797</xdr:rowOff>
    </xdr:to>
    <xdr:graphicFrame macro="">
      <xdr:nvGraphicFramePr>
        <xdr:cNvPr id="4" name="Chart 3">
          <a:extLst>
            <a:ext uri="{FF2B5EF4-FFF2-40B4-BE49-F238E27FC236}">
              <a16:creationId xmlns:a16="http://schemas.microsoft.com/office/drawing/2014/main" id="{043DA6E1-B78F-4553-83EC-3144DEF0F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166384</xdr:colOff>
      <xdr:row>13</xdr:row>
      <xdr:rowOff>65714</xdr:rowOff>
    </xdr:from>
    <xdr:to>
      <xdr:col>6</xdr:col>
      <xdr:colOff>61666</xdr:colOff>
      <xdr:row>22</xdr:row>
      <xdr:rowOff>53851</xdr:rowOff>
    </xdr:to>
    <xdr:sp macro="" textlink="">
      <xdr:nvSpPr>
        <xdr:cNvPr id="5" name="TextBox 4">
          <a:extLst>
            <a:ext uri="{FF2B5EF4-FFF2-40B4-BE49-F238E27FC236}">
              <a16:creationId xmlns:a16="http://schemas.microsoft.com/office/drawing/2014/main" id="{9B7C6B99-C9A8-EC7A-18A2-51FE41715CFE}"/>
            </a:ext>
          </a:extLst>
        </xdr:cNvPr>
        <xdr:cNvSpPr txBox="1"/>
      </xdr:nvSpPr>
      <xdr:spPr>
        <a:xfrm>
          <a:off x="2710920" y="2855178"/>
          <a:ext cx="1528139" cy="1702637"/>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fontAlgn="t"/>
          <a:r>
            <a:rPr lang="en-AU" sz="1100" b="0" i="0">
              <a:solidFill>
                <a:schemeClr val="dk1"/>
              </a:solidFill>
              <a:effectLst/>
              <a:latin typeface="+mn-lt"/>
              <a:ea typeface="+mn-ea"/>
              <a:cs typeface="+mn-cs"/>
            </a:rPr>
            <a:t>Service remained below target at </a:t>
          </a:r>
          <a:r>
            <a:rPr lang="en-AU" sz="1100" b="1" i="0">
              <a:solidFill>
                <a:schemeClr val="dk1"/>
              </a:solidFill>
              <a:effectLst/>
              <a:latin typeface="+mn-lt"/>
              <a:ea typeface="+mn-ea"/>
              <a:cs typeface="+mn-cs"/>
            </a:rPr>
            <a:t>74.45%</a:t>
          </a:r>
          <a:r>
            <a:rPr lang="en-AU" sz="1100" b="0" i="0">
              <a:solidFill>
                <a:schemeClr val="dk1"/>
              </a:solidFill>
              <a:effectLst/>
              <a:latin typeface="+mn-lt"/>
              <a:ea typeface="+mn-ea"/>
              <a:cs typeface="+mn-cs"/>
            </a:rPr>
            <a:t>, impacted by </a:t>
          </a:r>
          <a:r>
            <a:rPr lang="en-AU" sz="1100" b="1" i="0">
              <a:solidFill>
                <a:schemeClr val="dk1"/>
              </a:solidFill>
              <a:effectLst/>
              <a:latin typeface="+mn-lt"/>
              <a:ea typeface="+mn-ea"/>
              <a:cs typeface="+mn-cs"/>
            </a:rPr>
            <a:t>higher abandonment (12.1%)</a:t>
          </a:r>
          <a:r>
            <a:rPr lang="en-AU" sz="1100" b="0" i="0">
              <a:solidFill>
                <a:schemeClr val="dk1"/>
              </a:solidFill>
              <a:effectLst/>
              <a:latin typeface="+mn-lt"/>
              <a:ea typeface="+mn-ea"/>
              <a:cs typeface="+mn-cs"/>
            </a:rPr>
            <a:t> and slower ASA (</a:t>
          </a:r>
          <a:r>
            <a:rPr lang="en-AU" sz="1100" b="1" i="0">
              <a:solidFill>
                <a:schemeClr val="dk1"/>
              </a:solidFill>
              <a:effectLst/>
              <a:latin typeface="+mn-lt"/>
              <a:ea typeface="+mn-ea"/>
              <a:cs typeface="+mn-cs"/>
            </a:rPr>
            <a:t>23s</a:t>
          </a:r>
          <a:r>
            <a:rPr lang="en-AU" sz="1100" b="0" i="0">
              <a:solidFill>
                <a:schemeClr val="dk1"/>
              </a:solidFill>
              <a:effectLst/>
              <a:latin typeface="+mn-lt"/>
              <a:ea typeface="+mn-ea"/>
              <a:cs typeface="+mn-cs"/>
            </a:rPr>
            <a:t>), despite volumes tracking close to forecast (</a:t>
          </a:r>
          <a:r>
            <a:rPr lang="en-AU" sz="1100" b="1" i="0">
              <a:solidFill>
                <a:schemeClr val="dk1"/>
              </a:solidFill>
              <a:effectLst/>
              <a:latin typeface="+mn-lt"/>
              <a:ea typeface="+mn-ea"/>
              <a:cs typeface="+mn-cs"/>
            </a:rPr>
            <a:t>+2%</a:t>
          </a:r>
          <a:r>
            <a:rPr lang="en-AU" sz="1100" b="0" i="0">
              <a:solidFill>
                <a:schemeClr val="dk1"/>
              </a:solidFill>
              <a:effectLst/>
              <a:latin typeface="+mn-lt"/>
              <a:ea typeface="+mn-ea"/>
              <a:cs typeface="+mn-cs"/>
            </a:rPr>
            <a:t>).</a:t>
          </a:r>
        </a:p>
        <a:p>
          <a:endParaRPr lang="en-AU" sz="1000"/>
        </a:p>
      </xdr:txBody>
    </xdr:sp>
    <xdr:clientData/>
  </xdr:twoCellAnchor>
  <xdr:twoCellAnchor>
    <xdr:from>
      <xdr:col>6</xdr:col>
      <xdr:colOff>817424</xdr:colOff>
      <xdr:row>15</xdr:row>
      <xdr:rowOff>75116</xdr:rowOff>
    </xdr:from>
    <xdr:to>
      <xdr:col>10</xdr:col>
      <xdr:colOff>20465</xdr:colOff>
      <xdr:row>22</xdr:row>
      <xdr:rowOff>74405</xdr:rowOff>
    </xdr:to>
    <xdr:sp macro="" textlink="">
      <xdr:nvSpPr>
        <xdr:cNvPr id="7" name="TextBox 6">
          <a:extLst>
            <a:ext uri="{FF2B5EF4-FFF2-40B4-BE49-F238E27FC236}">
              <a16:creationId xmlns:a16="http://schemas.microsoft.com/office/drawing/2014/main" id="{FAA41A81-FEF3-4774-849E-0919BE0AC69C}"/>
            </a:ext>
          </a:extLst>
        </xdr:cNvPr>
        <xdr:cNvSpPr txBox="1"/>
      </xdr:nvSpPr>
      <xdr:spPr>
        <a:xfrm>
          <a:off x="4994817" y="3245580"/>
          <a:ext cx="1747577" cy="1332789"/>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fontAlgn="t"/>
          <a:r>
            <a:rPr lang="en-AU" sz="1100" b="0" i="0">
              <a:solidFill>
                <a:schemeClr val="dk1"/>
              </a:solidFill>
              <a:effectLst/>
              <a:latin typeface="+mn-lt"/>
              <a:ea typeface="+mn-ea"/>
              <a:cs typeface="+mn-cs"/>
            </a:rPr>
            <a:t>Service improved to </a:t>
          </a:r>
          <a:r>
            <a:rPr lang="en-AU" sz="1100" b="1" i="0">
              <a:solidFill>
                <a:schemeClr val="dk1"/>
              </a:solidFill>
              <a:effectLst/>
              <a:latin typeface="+mn-lt"/>
              <a:ea typeface="+mn-ea"/>
              <a:cs typeface="+mn-cs"/>
            </a:rPr>
            <a:t>87.43%</a:t>
          </a:r>
          <a:r>
            <a:rPr lang="en-AU" sz="1100" b="0" i="0">
              <a:solidFill>
                <a:schemeClr val="dk1"/>
              </a:solidFill>
              <a:effectLst/>
              <a:latin typeface="+mn-lt"/>
              <a:ea typeface="+mn-ea"/>
              <a:cs typeface="+mn-cs"/>
            </a:rPr>
            <a:t>, supported by </a:t>
          </a:r>
          <a:r>
            <a:rPr lang="en-AU" sz="1100" b="1" i="0">
              <a:solidFill>
                <a:schemeClr val="dk1"/>
              </a:solidFill>
              <a:effectLst/>
              <a:latin typeface="+mn-lt"/>
              <a:ea typeface="+mn-ea"/>
              <a:cs typeface="+mn-cs"/>
            </a:rPr>
            <a:t>faster ASA (13s)</a:t>
          </a:r>
          <a:r>
            <a:rPr lang="en-AU" sz="1100" b="0" i="0">
              <a:solidFill>
                <a:schemeClr val="dk1"/>
              </a:solidFill>
              <a:effectLst/>
              <a:latin typeface="+mn-lt"/>
              <a:ea typeface="+mn-ea"/>
              <a:cs typeface="+mn-cs"/>
            </a:rPr>
            <a:t> and significantly lower abandonment (</a:t>
          </a:r>
          <a:r>
            <a:rPr lang="en-AU" sz="1100" b="1" i="0">
              <a:solidFill>
                <a:schemeClr val="dk1"/>
              </a:solidFill>
              <a:effectLst/>
              <a:latin typeface="+mn-lt"/>
              <a:ea typeface="+mn-ea"/>
              <a:cs typeface="+mn-cs"/>
            </a:rPr>
            <a:t>3.3%</a:t>
          </a:r>
          <a:r>
            <a:rPr lang="en-AU" sz="1100" b="0" i="0">
              <a:solidFill>
                <a:schemeClr val="dk1"/>
              </a:solidFill>
              <a:effectLst/>
              <a:latin typeface="+mn-lt"/>
              <a:ea typeface="+mn-ea"/>
              <a:cs typeface="+mn-cs"/>
            </a:rPr>
            <a:t>), with volumes running </a:t>
          </a:r>
          <a:r>
            <a:rPr lang="en-AU" sz="1100" b="1" i="0">
              <a:solidFill>
                <a:schemeClr val="dk1"/>
              </a:solidFill>
              <a:effectLst/>
              <a:latin typeface="+mn-lt"/>
              <a:ea typeface="+mn-ea"/>
              <a:cs typeface="+mn-cs"/>
            </a:rPr>
            <a:t>7% below forecast</a:t>
          </a:r>
          <a:r>
            <a:rPr lang="en-AU" sz="1100" b="0" i="0">
              <a:solidFill>
                <a:schemeClr val="dk1"/>
              </a:solidFill>
              <a:effectLst/>
              <a:latin typeface="+mn-lt"/>
              <a:ea typeface="+mn-ea"/>
              <a:cs typeface="+mn-cs"/>
            </a:rPr>
            <a:t>, easing pressure.</a:t>
          </a:r>
        </a:p>
        <a:p>
          <a:endParaRPr lang="en-AU" sz="900"/>
        </a:p>
      </xdr:txBody>
    </xdr:sp>
    <xdr:clientData/>
  </xdr:twoCellAnchor>
  <xdr:twoCellAnchor>
    <xdr:from>
      <xdr:col>12</xdr:col>
      <xdr:colOff>99343</xdr:colOff>
      <xdr:row>16</xdr:row>
      <xdr:rowOff>135495</xdr:rowOff>
    </xdr:from>
    <xdr:to>
      <xdr:col>15</xdr:col>
      <xdr:colOff>28372</xdr:colOff>
      <xdr:row>22</xdr:row>
      <xdr:rowOff>168485</xdr:rowOff>
    </xdr:to>
    <xdr:sp macro="" textlink="">
      <xdr:nvSpPr>
        <xdr:cNvPr id="8" name="TextBox 7">
          <a:extLst>
            <a:ext uri="{FF2B5EF4-FFF2-40B4-BE49-F238E27FC236}">
              <a16:creationId xmlns:a16="http://schemas.microsoft.com/office/drawing/2014/main" id="{60890B14-D194-48D9-81AB-7EF8B1973C5D}"/>
            </a:ext>
          </a:extLst>
        </xdr:cNvPr>
        <xdr:cNvSpPr txBox="1"/>
      </xdr:nvSpPr>
      <xdr:spPr>
        <a:xfrm>
          <a:off x="7664914" y="3496459"/>
          <a:ext cx="1657137" cy="1175990"/>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AU" sz="1100" b="0" i="0">
              <a:solidFill>
                <a:schemeClr val="dk1"/>
              </a:solidFill>
              <a:effectLst/>
              <a:latin typeface="+mn-lt"/>
              <a:ea typeface="+mn-ea"/>
              <a:cs typeface="+mn-cs"/>
            </a:rPr>
            <a:t>Service softened to </a:t>
          </a:r>
          <a:r>
            <a:rPr lang="en-AU" sz="1100" b="1" i="0">
              <a:solidFill>
                <a:schemeClr val="dk1"/>
              </a:solidFill>
              <a:effectLst/>
              <a:latin typeface="+mn-lt"/>
              <a:ea typeface="+mn-ea"/>
              <a:cs typeface="+mn-cs"/>
            </a:rPr>
            <a:t>82.66%</a:t>
          </a:r>
          <a:r>
            <a:rPr lang="en-AU" sz="1100" b="0" i="0">
              <a:solidFill>
                <a:schemeClr val="dk1"/>
              </a:solidFill>
              <a:effectLst/>
              <a:latin typeface="+mn-lt"/>
              <a:ea typeface="+mn-ea"/>
              <a:cs typeface="+mn-cs"/>
            </a:rPr>
            <a:t>, driven by a </a:t>
          </a:r>
          <a:r>
            <a:rPr lang="en-AU" sz="1100" b="1" i="0">
              <a:solidFill>
                <a:schemeClr val="dk1"/>
              </a:solidFill>
              <a:effectLst/>
              <a:latin typeface="+mn-lt"/>
              <a:ea typeface="+mn-ea"/>
              <a:cs typeface="+mn-cs"/>
            </a:rPr>
            <a:t>material volume uplift (+19%)</a:t>
          </a:r>
          <a:r>
            <a:rPr lang="en-AU" sz="1100" b="0" i="0">
              <a:solidFill>
                <a:schemeClr val="dk1"/>
              </a:solidFill>
              <a:effectLst/>
              <a:latin typeface="+mn-lt"/>
              <a:ea typeface="+mn-ea"/>
              <a:cs typeface="+mn-cs"/>
            </a:rPr>
            <a:t>, which increased load despite stable ASA (</a:t>
          </a:r>
          <a:r>
            <a:rPr lang="en-AU" sz="1100" b="1" i="0">
              <a:solidFill>
                <a:schemeClr val="dk1"/>
              </a:solidFill>
              <a:effectLst/>
              <a:latin typeface="+mn-lt"/>
              <a:ea typeface="+mn-ea"/>
              <a:cs typeface="+mn-cs"/>
            </a:rPr>
            <a:t>19s</a:t>
          </a:r>
          <a:r>
            <a:rPr lang="en-AU" sz="1100" b="0" i="0">
              <a:solidFill>
                <a:schemeClr val="dk1"/>
              </a:solidFill>
              <a:effectLst/>
              <a:latin typeface="+mn-lt"/>
              <a:ea typeface="+mn-ea"/>
              <a:cs typeface="+mn-cs"/>
            </a:rPr>
            <a:t>) and controlled abandonment (</a:t>
          </a:r>
          <a:r>
            <a:rPr lang="en-AU" sz="1100" b="1" i="0">
              <a:solidFill>
                <a:schemeClr val="dk1"/>
              </a:solidFill>
              <a:effectLst/>
              <a:latin typeface="+mn-lt"/>
              <a:ea typeface="+mn-ea"/>
              <a:cs typeface="+mn-cs"/>
            </a:rPr>
            <a:t>2.8%</a:t>
          </a:r>
          <a:r>
            <a:rPr lang="en-AU" sz="1100" b="0" i="0">
              <a:solidFill>
                <a:schemeClr val="dk1"/>
              </a:solidFill>
              <a:effectLst/>
              <a:latin typeface="+mn-lt"/>
              <a:ea typeface="+mn-ea"/>
              <a:cs typeface="+mn-cs"/>
            </a:rPr>
            <a:t>).</a:t>
          </a:r>
        </a:p>
        <a:p>
          <a:endParaRPr lang="en-AU" sz="900"/>
        </a:p>
      </xdr:txBody>
    </xdr:sp>
    <xdr:clientData/>
  </xdr:twoCellAnchor>
  <xdr:twoCellAnchor>
    <xdr:from>
      <xdr:col>15</xdr:col>
      <xdr:colOff>773405</xdr:colOff>
      <xdr:row>15</xdr:row>
      <xdr:rowOff>96337</xdr:rowOff>
    </xdr:from>
    <xdr:to>
      <xdr:col>17</xdr:col>
      <xdr:colOff>429873</xdr:colOff>
      <xdr:row>21</xdr:row>
      <xdr:rowOff>118332</xdr:rowOff>
    </xdr:to>
    <xdr:sp macro="" textlink="">
      <xdr:nvSpPr>
        <xdr:cNvPr id="9" name="TextBox 8">
          <a:extLst>
            <a:ext uri="{FF2B5EF4-FFF2-40B4-BE49-F238E27FC236}">
              <a16:creationId xmlns:a16="http://schemas.microsoft.com/office/drawing/2014/main" id="{1840630C-4261-4350-BF28-2792F5B4823B}"/>
            </a:ext>
          </a:extLst>
        </xdr:cNvPr>
        <xdr:cNvSpPr txBox="1"/>
      </xdr:nvSpPr>
      <xdr:spPr>
        <a:xfrm>
          <a:off x="10067084" y="3266801"/>
          <a:ext cx="1643110" cy="1164995"/>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AU" sz="1100" b="0" i="0">
              <a:solidFill>
                <a:schemeClr val="dk1"/>
              </a:solidFill>
              <a:effectLst/>
              <a:latin typeface="+mn-lt"/>
              <a:ea typeface="+mn-ea"/>
              <a:cs typeface="+mn-cs"/>
            </a:rPr>
            <a:t>Service strengthened to </a:t>
          </a:r>
          <a:r>
            <a:rPr lang="en-AU" sz="1100" b="1" i="0">
              <a:solidFill>
                <a:schemeClr val="dk1"/>
              </a:solidFill>
              <a:effectLst/>
              <a:latin typeface="+mn-lt"/>
              <a:ea typeface="+mn-ea"/>
              <a:cs typeface="+mn-cs"/>
            </a:rPr>
            <a:t>92.06%</a:t>
          </a:r>
          <a:r>
            <a:rPr lang="en-AU" sz="1100" b="0" i="0">
              <a:solidFill>
                <a:schemeClr val="dk1"/>
              </a:solidFill>
              <a:effectLst/>
              <a:latin typeface="+mn-lt"/>
              <a:ea typeface="+mn-ea"/>
              <a:cs typeface="+mn-cs"/>
            </a:rPr>
            <a:t>, benefiting from </a:t>
          </a:r>
          <a:r>
            <a:rPr lang="en-AU" sz="1100" b="1" i="0">
              <a:solidFill>
                <a:schemeClr val="dk1"/>
              </a:solidFill>
              <a:effectLst/>
              <a:latin typeface="+mn-lt"/>
              <a:ea typeface="+mn-ea"/>
              <a:cs typeface="+mn-cs"/>
            </a:rPr>
            <a:t>lower‑than‑forecast volumes (+6%)</a:t>
          </a:r>
          <a:r>
            <a:rPr lang="en-AU" sz="1100" b="0" i="0">
              <a:solidFill>
                <a:schemeClr val="dk1"/>
              </a:solidFill>
              <a:effectLst/>
              <a:latin typeface="+mn-lt"/>
              <a:ea typeface="+mn-ea"/>
              <a:cs typeface="+mn-cs"/>
            </a:rPr>
            <a:t>, fast ASA (</a:t>
          </a:r>
          <a:r>
            <a:rPr lang="en-AU" sz="1100" b="1" i="0">
              <a:solidFill>
                <a:schemeClr val="dk1"/>
              </a:solidFill>
              <a:effectLst/>
              <a:latin typeface="+mn-lt"/>
              <a:ea typeface="+mn-ea"/>
              <a:cs typeface="+mn-cs"/>
            </a:rPr>
            <a:t>6s</a:t>
          </a:r>
          <a:r>
            <a:rPr lang="en-AU" sz="1100" b="0" i="0">
              <a:solidFill>
                <a:schemeClr val="dk1"/>
              </a:solidFill>
              <a:effectLst/>
              <a:latin typeface="+mn-lt"/>
              <a:ea typeface="+mn-ea"/>
              <a:cs typeface="+mn-cs"/>
            </a:rPr>
            <a:t>), and low abandonment (</a:t>
          </a:r>
          <a:r>
            <a:rPr lang="en-AU" sz="1100" b="1" i="0">
              <a:solidFill>
                <a:schemeClr val="dk1"/>
              </a:solidFill>
              <a:effectLst/>
              <a:latin typeface="+mn-lt"/>
              <a:ea typeface="+mn-ea"/>
              <a:cs typeface="+mn-cs"/>
            </a:rPr>
            <a:t>1.7%</a:t>
          </a:r>
          <a:r>
            <a:rPr lang="en-AU" sz="1100" b="0" i="0">
              <a:solidFill>
                <a:schemeClr val="dk1"/>
              </a:solidFill>
              <a:effectLst/>
              <a:latin typeface="+mn-lt"/>
              <a:ea typeface="+mn-ea"/>
              <a:cs typeface="+mn-cs"/>
            </a:rPr>
            <a:t>).</a:t>
          </a:r>
        </a:p>
        <a:p>
          <a:endParaRPr lang="en-AU" sz="1000"/>
        </a:p>
      </xdr:txBody>
    </xdr:sp>
    <xdr:clientData/>
  </xdr:twoCellAnchor>
  <xdr:twoCellAnchor>
    <xdr:from>
      <xdr:col>18</xdr:col>
      <xdr:colOff>712827</xdr:colOff>
      <xdr:row>14</xdr:row>
      <xdr:rowOff>72182</xdr:rowOff>
    </xdr:from>
    <xdr:to>
      <xdr:col>19</xdr:col>
      <xdr:colOff>118418</xdr:colOff>
      <xdr:row>20</xdr:row>
      <xdr:rowOff>57660</xdr:rowOff>
    </xdr:to>
    <xdr:sp macro="" textlink="">
      <xdr:nvSpPr>
        <xdr:cNvPr id="11" name="TextBox 10">
          <a:extLst>
            <a:ext uri="{FF2B5EF4-FFF2-40B4-BE49-F238E27FC236}">
              <a16:creationId xmlns:a16="http://schemas.microsoft.com/office/drawing/2014/main" id="{D47BB10A-A506-498D-8A6B-F0352D80D175}"/>
            </a:ext>
          </a:extLst>
        </xdr:cNvPr>
        <xdr:cNvSpPr txBox="1"/>
      </xdr:nvSpPr>
      <xdr:spPr>
        <a:xfrm>
          <a:off x="12605470" y="3052146"/>
          <a:ext cx="2031769" cy="1128478"/>
        </a:xfrm>
        <a:prstGeom prst="rect">
          <a:avLst/>
        </a:prstGeom>
        <a:no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AU" sz="1100" b="0" i="0">
              <a:solidFill>
                <a:schemeClr val="dk1"/>
              </a:solidFill>
              <a:effectLst/>
              <a:latin typeface="+mn-lt"/>
              <a:ea typeface="+mn-ea"/>
              <a:cs typeface="+mn-cs"/>
            </a:rPr>
            <a:t>Service remained stable at </a:t>
          </a:r>
          <a:r>
            <a:rPr lang="en-AU" sz="1100" b="1" i="0">
              <a:solidFill>
                <a:schemeClr val="dk1"/>
              </a:solidFill>
              <a:effectLst/>
              <a:latin typeface="+mn-lt"/>
              <a:ea typeface="+mn-ea"/>
              <a:cs typeface="+mn-cs"/>
            </a:rPr>
            <a:t>90.14%</a:t>
          </a:r>
          <a:r>
            <a:rPr lang="en-AU" sz="1100" b="0" i="0">
              <a:solidFill>
                <a:schemeClr val="dk1"/>
              </a:solidFill>
              <a:effectLst/>
              <a:latin typeface="+mn-lt"/>
              <a:ea typeface="+mn-ea"/>
              <a:cs typeface="+mn-cs"/>
            </a:rPr>
            <a:t>, supported by manageable demand (</a:t>
          </a:r>
          <a:r>
            <a:rPr lang="en-AU" sz="1100" b="1" i="0">
              <a:solidFill>
                <a:schemeClr val="dk1"/>
              </a:solidFill>
              <a:effectLst/>
              <a:latin typeface="+mn-lt"/>
              <a:ea typeface="+mn-ea"/>
              <a:cs typeface="+mn-cs"/>
            </a:rPr>
            <a:t>+10% vs forecast</a:t>
          </a:r>
          <a:r>
            <a:rPr lang="en-AU" sz="1100" b="0" i="0">
              <a:solidFill>
                <a:schemeClr val="dk1"/>
              </a:solidFill>
              <a:effectLst/>
              <a:latin typeface="+mn-lt"/>
              <a:ea typeface="+mn-ea"/>
              <a:cs typeface="+mn-cs"/>
            </a:rPr>
            <a:t>) and controlled abandonment (</a:t>
          </a:r>
          <a:r>
            <a:rPr lang="en-AU" sz="1100" b="1" i="0">
              <a:solidFill>
                <a:schemeClr val="dk1"/>
              </a:solidFill>
              <a:effectLst/>
              <a:latin typeface="+mn-lt"/>
              <a:ea typeface="+mn-ea"/>
              <a:cs typeface="+mn-cs"/>
            </a:rPr>
            <a:t>2.0%</a:t>
          </a:r>
          <a:r>
            <a:rPr lang="en-AU" sz="1100" b="0" i="0">
              <a:solidFill>
                <a:schemeClr val="dk1"/>
              </a:solidFill>
              <a:effectLst/>
              <a:latin typeface="+mn-lt"/>
              <a:ea typeface="+mn-ea"/>
              <a:cs typeface="+mn-cs"/>
            </a:rPr>
            <a:t>), though slower ASA (</a:t>
          </a:r>
          <a:r>
            <a:rPr lang="en-AU" sz="1100" b="1" i="0">
              <a:solidFill>
                <a:schemeClr val="dk1"/>
              </a:solidFill>
              <a:effectLst/>
              <a:latin typeface="+mn-lt"/>
              <a:ea typeface="+mn-ea"/>
              <a:cs typeface="+mn-cs"/>
            </a:rPr>
            <a:t>24s</a:t>
          </a:r>
          <a:r>
            <a:rPr lang="en-AU" sz="1100" b="0" i="0">
              <a:solidFill>
                <a:schemeClr val="dk1"/>
              </a:solidFill>
              <a:effectLst/>
              <a:latin typeface="+mn-lt"/>
              <a:ea typeface="+mn-ea"/>
              <a:cs typeface="+mn-cs"/>
            </a:rPr>
            <a:t>) limited further uplift.</a:t>
          </a:r>
        </a:p>
        <a:p>
          <a:endParaRPr lang="en-AU" sz="1000" b="0"/>
        </a:p>
      </xdr:txBody>
    </xdr:sp>
    <xdr:clientData/>
  </xdr:twoCellAnchor>
  <xdr:twoCellAnchor>
    <xdr:from>
      <xdr:col>18</xdr:col>
      <xdr:colOff>2371725</xdr:colOff>
      <xdr:row>21</xdr:row>
      <xdr:rowOff>1415</xdr:rowOff>
    </xdr:from>
    <xdr:to>
      <xdr:col>19</xdr:col>
      <xdr:colOff>1638299</xdr:colOff>
      <xdr:row>28</xdr:row>
      <xdr:rowOff>133350</xdr:rowOff>
    </xdr:to>
    <xdr:sp macro="" textlink="">
      <xdr:nvSpPr>
        <xdr:cNvPr id="6" name="TextBox 5">
          <a:extLst>
            <a:ext uri="{FF2B5EF4-FFF2-40B4-BE49-F238E27FC236}">
              <a16:creationId xmlns:a16="http://schemas.microsoft.com/office/drawing/2014/main" id="{CE54359F-5803-48F6-A8E1-47B0CF54B86E}"/>
            </a:ext>
          </a:extLst>
        </xdr:cNvPr>
        <xdr:cNvSpPr txBox="1"/>
      </xdr:nvSpPr>
      <xdr:spPr>
        <a:xfrm>
          <a:off x="14239875" y="4316240"/>
          <a:ext cx="1885949" cy="1465435"/>
        </a:xfrm>
        <a:prstGeom prst="rect">
          <a:avLst/>
        </a:prstGeom>
        <a:no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fontAlgn="t"/>
          <a:r>
            <a:rPr lang="en-AU" sz="1100" b="0" i="0">
              <a:solidFill>
                <a:schemeClr val="dk1"/>
              </a:solidFill>
              <a:effectLst/>
              <a:latin typeface="+mn-lt"/>
              <a:ea typeface="+mn-ea"/>
              <a:cs typeface="+mn-cs"/>
            </a:rPr>
            <a:t>Service peaked at </a:t>
          </a:r>
          <a:r>
            <a:rPr lang="en-AU" sz="1100" b="1" i="0">
              <a:solidFill>
                <a:schemeClr val="dk1"/>
              </a:solidFill>
              <a:effectLst/>
              <a:latin typeface="+mn-lt"/>
              <a:ea typeface="+mn-ea"/>
              <a:cs typeface="+mn-cs"/>
            </a:rPr>
            <a:t>90.97%</a:t>
          </a:r>
          <a:r>
            <a:rPr lang="en-AU" sz="1100" b="0" i="0">
              <a:solidFill>
                <a:schemeClr val="dk1"/>
              </a:solidFill>
              <a:effectLst/>
              <a:latin typeface="+mn-lt"/>
              <a:ea typeface="+mn-ea"/>
              <a:cs typeface="+mn-cs"/>
            </a:rPr>
            <a:t>, driven by </a:t>
          </a:r>
          <a:r>
            <a:rPr lang="en-AU" sz="1100" b="1" i="0">
              <a:solidFill>
                <a:schemeClr val="dk1"/>
              </a:solidFill>
              <a:effectLst/>
              <a:latin typeface="+mn-lt"/>
              <a:ea typeface="+mn-ea"/>
              <a:cs typeface="+mn-cs"/>
            </a:rPr>
            <a:t>very low abandonment (1.2%)</a:t>
          </a:r>
          <a:r>
            <a:rPr lang="en-AU" sz="1100" b="0" i="0">
              <a:solidFill>
                <a:schemeClr val="dk1"/>
              </a:solidFill>
              <a:effectLst/>
              <a:latin typeface="+mn-lt"/>
              <a:ea typeface="+mn-ea"/>
              <a:cs typeface="+mn-cs"/>
            </a:rPr>
            <a:t> and fast ASA (</a:t>
          </a:r>
          <a:r>
            <a:rPr lang="en-AU" sz="1100" b="1" i="0">
              <a:solidFill>
                <a:schemeClr val="dk1"/>
              </a:solidFill>
              <a:effectLst/>
              <a:latin typeface="+mn-lt"/>
              <a:ea typeface="+mn-ea"/>
              <a:cs typeface="+mn-cs"/>
            </a:rPr>
            <a:t>7s</a:t>
          </a:r>
          <a:r>
            <a:rPr lang="en-AU" sz="1100" b="0" i="0">
              <a:solidFill>
                <a:schemeClr val="dk1"/>
              </a:solidFill>
              <a:effectLst/>
              <a:latin typeface="+mn-lt"/>
              <a:ea typeface="+mn-ea"/>
              <a:cs typeface="+mn-cs"/>
            </a:rPr>
            <a:t>), despite volumes running </a:t>
          </a:r>
          <a:r>
            <a:rPr lang="en-AU" sz="1100" b="1" i="0">
              <a:solidFill>
                <a:schemeClr val="dk1"/>
              </a:solidFill>
              <a:effectLst/>
              <a:latin typeface="+mn-lt"/>
              <a:ea typeface="+mn-ea"/>
              <a:cs typeface="+mn-cs"/>
            </a:rPr>
            <a:t>17% above forecast</a:t>
          </a:r>
          <a:r>
            <a:rPr lang="en-AU" sz="1100" b="0" i="0">
              <a:solidFill>
                <a:schemeClr val="dk1"/>
              </a:solidFill>
              <a:effectLst/>
              <a:latin typeface="+mn-lt"/>
              <a:ea typeface="+mn-ea"/>
              <a:cs typeface="+mn-cs"/>
            </a:rPr>
            <a:t>, demonstrating strong operational control.</a:t>
          </a:r>
        </a:p>
        <a:p>
          <a:endParaRPr lang="en-AU" sz="1000" b="0"/>
        </a:p>
      </xdr:txBody>
    </xdr:sp>
    <xdr:clientData/>
  </xdr:twoCellAnchor>
  <xdr:twoCellAnchor>
    <xdr:from>
      <xdr:col>19</xdr:col>
      <xdr:colOff>1971675</xdr:colOff>
      <xdr:row>13</xdr:row>
      <xdr:rowOff>190499</xdr:rowOff>
    </xdr:from>
    <xdr:to>
      <xdr:col>20</xdr:col>
      <xdr:colOff>1189266</xdr:colOff>
      <xdr:row>20</xdr:row>
      <xdr:rowOff>35378</xdr:rowOff>
    </xdr:to>
    <xdr:sp macro="" textlink="">
      <xdr:nvSpPr>
        <xdr:cNvPr id="10" name="TextBox 9">
          <a:extLst>
            <a:ext uri="{FF2B5EF4-FFF2-40B4-BE49-F238E27FC236}">
              <a16:creationId xmlns:a16="http://schemas.microsoft.com/office/drawing/2014/main" id="{874D554D-38EC-44F9-8D64-5F665B3FFEB6}"/>
            </a:ext>
          </a:extLst>
        </xdr:cNvPr>
        <xdr:cNvSpPr txBox="1"/>
      </xdr:nvSpPr>
      <xdr:spPr>
        <a:xfrm>
          <a:off x="16459200" y="2981324"/>
          <a:ext cx="1836966" cy="1178379"/>
        </a:xfrm>
        <a:prstGeom prst="rect">
          <a:avLst/>
        </a:prstGeom>
        <a:no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AU" sz="1100" b="0" i="0">
              <a:solidFill>
                <a:schemeClr val="dk1"/>
              </a:solidFill>
              <a:effectLst/>
              <a:latin typeface="+mn-lt"/>
              <a:ea typeface="+mn-ea"/>
              <a:cs typeface="+mn-cs"/>
            </a:rPr>
            <a:t>Service closed at </a:t>
          </a:r>
          <a:r>
            <a:rPr lang="en-AU" sz="1100" b="1" i="0">
              <a:solidFill>
                <a:schemeClr val="dk1"/>
              </a:solidFill>
              <a:effectLst/>
              <a:latin typeface="+mn-lt"/>
              <a:ea typeface="+mn-ea"/>
              <a:cs typeface="+mn-cs"/>
            </a:rPr>
            <a:t>88% SL</a:t>
          </a:r>
          <a:r>
            <a:rPr lang="en-AU" sz="1100" b="0" i="0">
              <a:solidFill>
                <a:schemeClr val="dk1"/>
              </a:solidFill>
              <a:effectLst/>
              <a:latin typeface="+mn-lt"/>
              <a:ea typeface="+mn-ea"/>
              <a:cs typeface="+mn-cs"/>
            </a:rPr>
            <a:t> with </a:t>
          </a:r>
          <a:r>
            <a:rPr lang="en-AU" sz="1100" b="1" i="0">
              <a:solidFill>
                <a:schemeClr val="dk1"/>
              </a:solidFill>
              <a:effectLst/>
              <a:latin typeface="+mn-lt"/>
              <a:ea typeface="+mn-ea"/>
              <a:cs typeface="+mn-cs"/>
            </a:rPr>
            <a:t>13s ASA</a:t>
          </a:r>
          <a:r>
            <a:rPr lang="en-AU" sz="1100" b="0" i="0">
              <a:solidFill>
                <a:schemeClr val="dk1"/>
              </a:solidFill>
              <a:effectLst/>
              <a:latin typeface="+mn-lt"/>
              <a:ea typeface="+mn-ea"/>
              <a:cs typeface="+mn-cs"/>
            </a:rPr>
            <a:t> and </a:t>
          </a:r>
          <a:r>
            <a:rPr lang="en-AU" sz="1100" b="1" i="0">
              <a:solidFill>
                <a:schemeClr val="dk1"/>
              </a:solidFill>
              <a:effectLst/>
              <a:latin typeface="+mn-lt"/>
              <a:ea typeface="+mn-ea"/>
              <a:cs typeface="+mn-cs"/>
            </a:rPr>
            <a:t>3% abandonment</a:t>
          </a:r>
          <a:r>
            <a:rPr lang="en-AU" sz="1100" b="0" i="0">
              <a:solidFill>
                <a:schemeClr val="dk1"/>
              </a:solidFill>
              <a:effectLst/>
              <a:latin typeface="+mn-lt"/>
              <a:ea typeface="+mn-ea"/>
              <a:cs typeface="+mn-cs"/>
            </a:rPr>
            <a:t>, supported by lower‑than‑forecast volumes (</a:t>
          </a:r>
          <a:r>
            <a:rPr lang="en-AU" sz="1100" b="1" i="0">
              <a:solidFill>
                <a:schemeClr val="dk1"/>
              </a:solidFill>
              <a:effectLst/>
              <a:latin typeface="+mn-lt"/>
              <a:ea typeface="+mn-ea"/>
              <a:cs typeface="+mn-cs"/>
            </a:rPr>
            <a:t>‑26% vs forecast</a:t>
          </a:r>
          <a:r>
            <a:rPr lang="en-AU" sz="1100" b="0" i="0">
              <a:solidFill>
                <a:schemeClr val="dk1"/>
              </a:solidFill>
              <a:effectLst/>
              <a:latin typeface="+mn-lt"/>
              <a:ea typeface="+mn-ea"/>
              <a:cs typeface="+mn-cs"/>
            </a:rPr>
            <a:t>) and stable operational control.</a:t>
          </a:r>
        </a:p>
        <a:p>
          <a:endParaRPr lang="en-AU" sz="10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467606</xdr:colOff>
      <xdr:row>19</xdr:row>
      <xdr:rowOff>145678</xdr:rowOff>
    </xdr:from>
    <xdr:to>
      <xdr:col>19</xdr:col>
      <xdr:colOff>669315</xdr:colOff>
      <xdr:row>47</xdr:row>
      <xdr:rowOff>78443</xdr:rowOff>
    </xdr:to>
    <xdr:graphicFrame macro="">
      <xdr:nvGraphicFramePr>
        <xdr:cNvPr id="2" name="Chart 1">
          <a:extLst>
            <a:ext uri="{FF2B5EF4-FFF2-40B4-BE49-F238E27FC236}">
              <a16:creationId xmlns:a16="http://schemas.microsoft.com/office/drawing/2014/main" id="{F630C3B6-9568-4F4B-8DD0-E6ADF22D8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7773</xdr:colOff>
      <xdr:row>51</xdr:row>
      <xdr:rowOff>159837</xdr:rowOff>
    </xdr:from>
    <xdr:to>
      <xdr:col>10</xdr:col>
      <xdr:colOff>134291</xdr:colOff>
      <xdr:row>73</xdr:row>
      <xdr:rowOff>17650</xdr:rowOff>
    </xdr:to>
    <xdr:graphicFrame macro="">
      <xdr:nvGraphicFramePr>
        <xdr:cNvPr id="3" name="Chart 2">
          <a:extLst>
            <a:ext uri="{FF2B5EF4-FFF2-40B4-BE49-F238E27FC236}">
              <a16:creationId xmlns:a16="http://schemas.microsoft.com/office/drawing/2014/main" id="{7AC079C7-EE63-412F-84DF-88F385191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91138</xdr:colOff>
      <xdr:row>51</xdr:row>
      <xdr:rowOff>183735</xdr:rowOff>
    </xdr:from>
    <xdr:to>
      <xdr:col>18</xdr:col>
      <xdr:colOff>1451675</xdr:colOff>
      <xdr:row>73</xdr:row>
      <xdr:rowOff>44797</xdr:rowOff>
    </xdr:to>
    <xdr:graphicFrame macro="">
      <xdr:nvGraphicFramePr>
        <xdr:cNvPr id="4" name="Chart 3">
          <a:extLst>
            <a:ext uri="{FF2B5EF4-FFF2-40B4-BE49-F238E27FC236}">
              <a16:creationId xmlns:a16="http://schemas.microsoft.com/office/drawing/2014/main" id="{CDB1829A-A001-460C-A116-83550C738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8F87-347A-4BF7-80DB-C93DF6C8AB45}">
  <dimension ref="A1:K14"/>
  <sheetViews>
    <sheetView workbookViewId="0">
      <selection activeCell="N6" sqref="N6"/>
    </sheetView>
  </sheetViews>
  <sheetFormatPr defaultRowHeight="15" x14ac:dyDescent="0.25"/>
  <cols>
    <col min="2" max="2" width="21.7109375" customWidth="1"/>
    <col min="3" max="3" width="12.42578125" customWidth="1"/>
  </cols>
  <sheetData>
    <row r="1" spans="1:11" ht="15.75" thickBot="1" x14ac:dyDescent="0.3">
      <c r="B1" s="126" t="s">
        <v>3</v>
      </c>
      <c r="C1" s="127"/>
      <c r="D1" s="127"/>
      <c r="E1" s="127"/>
      <c r="F1" s="128"/>
      <c r="G1" s="46"/>
    </row>
    <row r="2" spans="1:11" ht="15.75" thickBot="1" x14ac:dyDescent="0.3">
      <c r="B2" s="47" t="s">
        <v>56</v>
      </c>
      <c r="C2" s="48" t="s">
        <v>57</v>
      </c>
      <c r="D2" s="47" t="s">
        <v>58</v>
      </c>
      <c r="E2" s="49" t="s">
        <v>59</v>
      </c>
      <c r="F2" s="50" t="s">
        <v>60</v>
      </c>
      <c r="G2" s="51" t="s">
        <v>61</v>
      </c>
      <c r="I2" s="45" t="s">
        <v>5</v>
      </c>
      <c r="J2" s="45" t="s">
        <v>7</v>
      </c>
      <c r="K2" s="45" t="s">
        <v>6</v>
      </c>
    </row>
    <row r="3" spans="1:11" x14ac:dyDescent="0.25">
      <c r="A3" t="s">
        <v>62</v>
      </c>
      <c r="B3" s="52">
        <v>15505</v>
      </c>
      <c r="C3" s="53">
        <v>9698</v>
      </c>
      <c r="D3" s="52">
        <v>6464</v>
      </c>
      <c r="E3" s="45">
        <v>15092</v>
      </c>
      <c r="F3" s="53">
        <v>2980</v>
      </c>
      <c r="G3" s="54">
        <v>5</v>
      </c>
      <c r="I3">
        <f>SUM(B3,D3)/G3</f>
        <v>4393.8</v>
      </c>
      <c r="J3">
        <f>SUM(C3,E3)/G3</f>
        <v>4958</v>
      </c>
      <c r="K3">
        <f>F3/G3</f>
        <v>596</v>
      </c>
    </row>
    <row r="4" spans="1:11" x14ac:dyDescent="0.25">
      <c r="A4" t="s">
        <v>63</v>
      </c>
      <c r="B4" s="52">
        <v>16674</v>
      </c>
      <c r="C4" s="53">
        <v>10116</v>
      </c>
      <c r="D4" s="52">
        <v>7889</v>
      </c>
      <c r="E4" s="45">
        <v>12383</v>
      </c>
      <c r="F4" s="53">
        <v>2900</v>
      </c>
      <c r="G4" s="54">
        <v>4</v>
      </c>
      <c r="I4">
        <f t="shared" ref="I4:I14" si="0">SUM(B4,D4)/G4</f>
        <v>6140.75</v>
      </c>
      <c r="J4">
        <f t="shared" ref="J4:J14" si="1">SUM(C4,E4)/G4</f>
        <v>5624.75</v>
      </c>
      <c r="K4">
        <f t="shared" ref="K4:K14" si="2">F4/G4</f>
        <v>725</v>
      </c>
    </row>
    <row r="5" spans="1:11" x14ac:dyDescent="0.25">
      <c r="A5" t="s">
        <v>64</v>
      </c>
      <c r="B5" s="52">
        <v>21085</v>
      </c>
      <c r="C5" s="53">
        <v>12225</v>
      </c>
      <c r="D5" s="52">
        <v>9269</v>
      </c>
      <c r="E5" s="45">
        <v>17597</v>
      </c>
      <c r="F5" s="53">
        <v>3802</v>
      </c>
      <c r="G5" s="54">
        <v>5</v>
      </c>
      <c r="I5">
        <f t="shared" si="0"/>
        <v>6070.8</v>
      </c>
      <c r="J5">
        <f t="shared" si="1"/>
        <v>5964.4</v>
      </c>
      <c r="K5">
        <f t="shared" si="2"/>
        <v>760.4</v>
      </c>
    </row>
    <row r="6" spans="1:11" x14ac:dyDescent="0.25">
      <c r="A6" t="s">
        <v>65</v>
      </c>
      <c r="B6" s="52">
        <v>14799</v>
      </c>
      <c r="C6" s="53">
        <v>10052</v>
      </c>
      <c r="D6" s="52">
        <v>7219</v>
      </c>
      <c r="E6" s="45">
        <v>13774</v>
      </c>
      <c r="F6" s="53">
        <v>2727</v>
      </c>
      <c r="G6" s="54">
        <v>4</v>
      </c>
      <c r="I6">
        <f t="shared" si="0"/>
        <v>5504.5</v>
      </c>
      <c r="J6">
        <f t="shared" si="1"/>
        <v>5956.5</v>
      </c>
      <c r="K6">
        <f t="shared" si="2"/>
        <v>681.75</v>
      </c>
    </row>
    <row r="7" spans="1:11" x14ac:dyDescent="0.25">
      <c r="A7" t="s">
        <v>66</v>
      </c>
      <c r="B7" s="52">
        <v>14296</v>
      </c>
      <c r="C7" s="53">
        <v>9834</v>
      </c>
      <c r="D7" s="52">
        <v>5825</v>
      </c>
      <c r="E7" s="45">
        <v>15146</v>
      </c>
      <c r="F7" s="53">
        <v>2754</v>
      </c>
      <c r="G7" s="54">
        <v>4</v>
      </c>
      <c r="I7">
        <f t="shared" si="0"/>
        <v>5030.25</v>
      </c>
      <c r="J7">
        <f t="shared" si="1"/>
        <v>6245</v>
      </c>
      <c r="K7">
        <f t="shared" si="2"/>
        <v>688.5</v>
      </c>
    </row>
    <row r="8" spans="1:11" x14ac:dyDescent="0.25">
      <c r="A8" t="s">
        <v>67</v>
      </c>
      <c r="B8" s="52">
        <v>17108</v>
      </c>
      <c r="C8" s="53">
        <v>12169</v>
      </c>
      <c r="D8" s="52">
        <v>7532</v>
      </c>
      <c r="E8" s="45">
        <v>17985</v>
      </c>
      <c r="F8" s="53">
        <v>3874</v>
      </c>
      <c r="G8" s="54">
        <v>5</v>
      </c>
      <c r="I8">
        <f t="shared" si="0"/>
        <v>4928</v>
      </c>
      <c r="J8">
        <f t="shared" si="1"/>
        <v>6030.8</v>
      </c>
      <c r="K8">
        <f t="shared" si="2"/>
        <v>774.8</v>
      </c>
    </row>
    <row r="9" spans="1:11" x14ac:dyDescent="0.25">
      <c r="A9" t="s">
        <v>68</v>
      </c>
      <c r="B9" s="52">
        <v>11068</v>
      </c>
      <c r="C9" s="53">
        <v>9297</v>
      </c>
      <c r="D9" s="52">
        <v>4741</v>
      </c>
      <c r="E9" s="45">
        <v>14905</v>
      </c>
      <c r="F9" s="53">
        <v>2898</v>
      </c>
      <c r="G9" s="54">
        <v>4</v>
      </c>
      <c r="I9">
        <f t="shared" si="0"/>
        <v>3952.25</v>
      </c>
      <c r="J9">
        <f t="shared" si="1"/>
        <v>6050.5</v>
      </c>
      <c r="K9">
        <f t="shared" si="2"/>
        <v>724.5</v>
      </c>
    </row>
    <row r="10" spans="1:11" x14ac:dyDescent="0.25">
      <c r="A10" t="s">
        <v>69</v>
      </c>
      <c r="B10" s="52">
        <v>13896</v>
      </c>
      <c r="C10" s="53">
        <v>10515</v>
      </c>
      <c r="D10" s="52">
        <v>5978</v>
      </c>
      <c r="E10" s="45">
        <v>19566</v>
      </c>
      <c r="F10" s="53">
        <v>2469</v>
      </c>
      <c r="G10" s="54">
        <v>4</v>
      </c>
      <c r="I10">
        <f t="shared" si="0"/>
        <v>4968.5</v>
      </c>
      <c r="J10">
        <f t="shared" si="1"/>
        <v>7520.25</v>
      </c>
      <c r="K10">
        <f t="shared" si="2"/>
        <v>617.25</v>
      </c>
    </row>
    <row r="11" spans="1:11" x14ac:dyDescent="0.25">
      <c r="A11" t="s">
        <v>70</v>
      </c>
      <c r="B11" s="52">
        <v>19253</v>
      </c>
      <c r="C11" s="53">
        <v>14345</v>
      </c>
      <c r="D11" s="52">
        <v>8578</v>
      </c>
      <c r="E11" s="45">
        <v>25070</v>
      </c>
      <c r="F11" s="53">
        <v>3720</v>
      </c>
      <c r="G11" s="54">
        <v>5</v>
      </c>
      <c r="I11">
        <f t="shared" si="0"/>
        <v>5566.2</v>
      </c>
      <c r="J11">
        <f t="shared" si="1"/>
        <v>7883</v>
      </c>
      <c r="K11">
        <f t="shared" si="2"/>
        <v>744</v>
      </c>
    </row>
    <row r="12" spans="1:11" x14ac:dyDescent="0.25">
      <c r="A12" t="s">
        <v>71</v>
      </c>
      <c r="B12" s="52">
        <v>16476</v>
      </c>
      <c r="C12" s="53">
        <v>11607</v>
      </c>
      <c r="D12" s="52">
        <v>7494</v>
      </c>
      <c r="E12" s="45">
        <v>22052</v>
      </c>
      <c r="F12" s="53">
        <v>3220</v>
      </c>
      <c r="G12" s="54">
        <v>4</v>
      </c>
      <c r="I12">
        <f t="shared" si="0"/>
        <v>5992.5</v>
      </c>
      <c r="J12">
        <f t="shared" si="1"/>
        <v>8414.75</v>
      </c>
      <c r="K12">
        <f t="shared" si="2"/>
        <v>805</v>
      </c>
    </row>
    <row r="13" spans="1:11" x14ac:dyDescent="0.25">
      <c r="A13" t="s">
        <v>72</v>
      </c>
      <c r="B13" s="52">
        <v>16900</v>
      </c>
      <c r="C13" s="53">
        <v>11812</v>
      </c>
      <c r="D13" s="52">
        <v>7628</v>
      </c>
      <c r="E13" s="45">
        <v>22679</v>
      </c>
      <c r="F13" s="53">
        <v>3622</v>
      </c>
      <c r="G13" s="54">
        <v>4</v>
      </c>
      <c r="I13">
        <f t="shared" si="0"/>
        <v>6132</v>
      </c>
      <c r="J13">
        <f t="shared" si="1"/>
        <v>8622.75</v>
      </c>
      <c r="K13">
        <f t="shared" si="2"/>
        <v>905.5</v>
      </c>
    </row>
    <row r="14" spans="1:11" ht="15.75" thickBot="1" x14ac:dyDescent="0.3">
      <c r="A14" t="s">
        <v>73</v>
      </c>
      <c r="B14" s="55">
        <v>16244</v>
      </c>
      <c r="C14" s="56">
        <v>11858</v>
      </c>
      <c r="D14" s="55">
        <v>8597</v>
      </c>
      <c r="E14" s="57">
        <v>21031</v>
      </c>
      <c r="F14" s="56">
        <v>3243</v>
      </c>
      <c r="G14" s="58">
        <v>5</v>
      </c>
      <c r="I14">
        <f t="shared" si="0"/>
        <v>4968.2</v>
      </c>
      <c r="J14">
        <f t="shared" si="1"/>
        <v>6577.8</v>
      </c>
      <c r="K14">
        <f t="shared" si="2"/>
        <v>648.6</v>
      </c>
    </row>
  </sheetData>
  <mergeCells count="1">
    <mergeCell ref="B1:F1"/>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4EA03-209E-4786-9620-0BE2184DF01D}">
  <dimension ref="B2:F11"/>
  <sheetViews>
    <sheetView showGridLines="0" workbookViewId="0">
      <selection activeCell="D10" sqref="D10"/>
    </sheetView>
  </sheetViews>
  <sheetFormatPr defaultRowHeight="15" x14ac:dyDescent="0.25"/>
  <cols>
    <col min="2" max="2" width="20.28515625" customWidth="1"/>
  </cols>
  <sheetData>
    <row r="2" spans="2:6" x14ac:dyDescent="0.25">
      <c r="B2" s="129" t="s">
        <v>47</v>
      </c>
      <c r="C2" s="130"/>
    </row>
    <row r="3" spans="2:6" x14ac:dyDescent="0.25">
      <c r="B3" s="7" t="s">
        <v>48</v>
      </c>
      <c r="C3" s="41">
        <f>E3</f>
        <v>681</v>
      </c>
      <c r="E3">
        <f>23+47+61+55+78+73+74+77+91+102</f>
        <v>681</v>
      </c>
      <c r="F3" t="s">
        <v>179</v>
      </c>
    </row>
    <row r="4" spans="2:6" x14ac:dyDescent="0.25">
      <c r="B4" s="7" t="s">
        <v>49</v>
      </c>
      <c r="C4" s="41">
        <v>207</v>
      </c>
      <c r="E4" t="s">
        <v>178</v>
      </c>
    </row>
    <row r="5" spans="2:6" x14ac:dyDescent="0.25">
      <c r="B5" s="7" t="s">
        <v>50</v>
      </c>
      <c r="C5" s="100">
        <f>C4/C3</f>
        <v>0.30396475770925108</v>
      </c>
      <c r="E5" t="s">
        <v>177</v>
      </c>
    </row>
    <row r="6" spans="2:6" x14ac:dyDescent="0.25">
      <c r="B6" s="7" t="s">
        <v>51</v>
      </c>
      <c r="C6" s="41">
        <v>4</v>
      </c>
      <c r="E6" t="s">
        <v>177</v>
      </c>
    </row>
    <row r="7" spans="2:6" x14ac:dyDescent="0.25">
      <c r="B7" s="7" t="s">
        <v>52</v>
      </c>
      <c r="C7" s="41">
        <v>19</v>
      </c>
      <c r="E7" t="s">
        <v>177</v>
      </c>
    </row>
    <row r="11" spans="2:6" x14ac:dyDescent="0.25">
      <c r="B11" s="92" t="s">
        <v>154</v>
      </c>
    </row>
  </sheetData>
  <mergeCells count="1">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76FA-17C1-419E-BE24-31249E00233B}">
  <dimension ref="A2:U75"/>
  <sheetViews>
    <sheetView showGridLines="0" zoomScaleNormal="100" workbookViewId="0">
      <selection activeCell="M10" sqref="M10"/>
    </sheetView>
  </sheetViews>
  <sheetFormatPr defaultRowHeight="15" x14ac:dyDescent="0.25"/>
  <cols>
    <col min="2" max="2" width="24.28515625" customWidth="1"/>
    <col min="3" max="3" width="9.140625" customWidth="1"/>
    <col min="4" max="4" width="13.85546875" customWidth="1"/>
    <col min="5" max="5" width="8.42578125" customWidth="1"/>
    <col min="6" max="6" width="15.7109375" customWidth="1"/>
    <col min="7" max="7" width="5" customWidth="1"/>
    <col min="8" max="8" width="15.28515625" customWidth="1"/>
    <col min="9" max="9" width="23.42578125" customWidth="1"/>
    <col min="10" max="10" width="35.85546875" customWidth="1"/>
    <col min="11" max="11" width="21" customWidth="1"/>
    <col min="13" max="13" width="36.28515625" customWidth="1"/>
  </cols>
  <sheetData>
    <row r="2" spans="1:10" ht="15.75" thickBot="1" x14ac:dyDescent="0.3"/>
    <row r="3" spans="1:10" x14ac:dyDescent="0.25">
      <c r="B3" s="29" t="s">
        <v>4</v>
      </c>
      <c r="C3" s="131" t="s">
        <v>5</v>
      </c>
      <c r="D3" s="132"/>
      <c r="E3" s="131" t="s">
        <v>6</v>
      </c>
      <c r="F3" s="132"/>
      <c r="G3" s="131" t="s">
        <v>7</v>
      </c>
      <c r="H3" s="132"/>
    </row>
    <row r="4" spans="1:10" ht="20.25" customHeight="1" x14ac:dyDescent="0.25">
      <c r="B4" s="9" t="s">
        <v>8</v>
      </c>
      <c r="C4" s="30"/>
      <c r="D4" s="24">
        <v>4.5999999999999996</v>
      </c>
      <c r="E4" s="35"/>
      <c r="F4" s="25" t="s">
        <v>9</v>
      </c>
      <c r="G4" s="35"/>
      <c r="H4" s="21" t="s">
        <v>10</v>
      </c>
    </row>
    <row r="5" spans="1:10" x14ac:dyDescent="0.25">
      <c r="B5" s="9" t="s">
        <v>11</v>
      </c>
      <c r="C5" s="30"/>
      <c r="D5" s="22">
        <v>0.5</v>
      </c>
      <c r="E5" s="35"/>
      <c r="F5" s="25" t="s">
        <v>9</v>
      </c>
      <c r="G5" s="35"/>
      <c r="H5" s="21" t="s">
        <v>10</v>
      </c>
    </row>
    <row r="6" spans="1:10" x14ac:dyDescent="0.25">
      <c r="B6" s="9" t="s">
        <v>12</v>
      </c>
      <c r="C6" s="10">
        <f>D6</f>
        <v>0.87975035422665349</v>
      </c>
      <c r="D6" s="20">
        <f>'Power BI'!C26</f>
        <v>0.87975035422665349</v>
      </c>
      <c r="E6" s="18">
        <f>F6</f>
        <v>0.94378194207836452</v>
      </c>
      <c r="F6" s="20">
        <f>'Power BI'!R21</f>
        <v>0.94378194207836452</v>
      </c>
      <c r="G6" s="18">
        <f>H6</f>
        <v>0.82</v>
      </c>
      <c r="H6" s="17">
        <v>0.82</v>
      </c>
      <c r="J6" t="s">
        <v>171</v>
      </c>
    </row>
    <row r="7" spans="1:10" ht="21" customHeight="1" x14ac:dyDescent="0.25">
      <c r="B7" s="9" t="s">
        <v>13</v>
      </c>
      <c r="C7" s="31">
        <f>D7</f>
        <v>13</v>
      </c>
      <c r="D7" s="25">
        <v>13</v>
      </c>
      <c r="E7" s="36">
        <f>F7</f>
        <v>9</v>
      </c>
      <c r="F7" s="91">
        <v>9</v>
      </c>
      <c r="G7" s="36"/>
      <c r="H7" s="21" t="s">
        <v>10</v>
      </c>
      <c r="J7" s="115" t="s">
        <v>161</v>
      </c>
    </row>
    <row r="8" spans="1:10" x14ac:dyDescent="0.25">
      <c r="B8" s="9" t="s">
        <v>14</v>
      </c>
      <c r="C8" s="10">
        <f>D8</f>
        <v>2.5000000000000001E-2</v>
      </c>
      <c r="D8" s="20">
        <f>'Power BI'!E26</f>
        <v>2.5000000000000001E-2</v>
      </c>
      <c r="E8" s="18"/>
      <c r="F8" s="38" t="s">
        <v>9</v>
      </c>
      <c r="G8" s="63"/>
      <c r="H8" s="64" t="s">
        <v>9</v>
      </c>
    </row>
    <row r="9" spans="1:10" x14ac:dyDescent="0.25">
      <c r="B9" s="9" t="s">
        <v>15</v>
      </c>
      <c r="C9" s="31"/>
      <c r="D9" s="91">
        <f>'Power BI'!F26</f>
        <v>5773</v>
      </c>
      <c r="E9" s="35"/>
      <c r="F9" s="91">
        <f>'Power BI'!U21</f>
        <v>592</v>
      </c>
      <c r="G9" s="35"/>
      <c r="H9" s="21">
        <v>4904</v>
      </c>
      <c r="J9" t="s">
        <v>172</v>
      </c>
    </row>
    <row r="10" spans="1:10" ht="20.25" customHeight="1" x14ac:dyDescent="0.25">
      <c r="B10" s="9" t="s">
        <v>16</v>
      </c>
      <c r="C10" s="32">
        <f>ABS(D10)</f>
        <v>4.877827232264511E-2</v>
      </c>
      <c r="D10" s="59">
        <f>(D9-C33)/C33</f>
        <v>4.877827232264511E-2</v>
      </c>
      <c r="E10" s="32">
        <f>ABS(F10)</f>
        <v>0.13164649798313163</v>
      </c>
      <c r="F10" s="59">
        <f>(F9-E33)/E33</f>
        <v>-0.13164649798313163</v>
      </c>
      <c r="G10" s="32">
        <f>ABS(H10)</f>
        <v>0.17669772517417948</v>
      </c>
      <c r="H10" s="65">
        <f>(H9-D33)/D33</f>
        <v>-0.17669772517417948</v>
      </c>
    </row>
    <row r="11" spans="1:10" x14ac:dyDescent="0.25">
      <c r="B11" s="9" t="s">
        <v>17</v>
      </c>
      <c r="C11" s="31"/>
      <c r="D11" s="25" t="s">
        <v>170</v>
      </c>
      <c r="E11" s="35"/>
      <c r="F11" s="25" t="s">
        <v>207</v>
      </c>
      <c r="G11" s="35"/>
      <c r="H11" s="21" t="s">
        <v>10</v>
      </c>
      <c r="J11" t="s">
        <v>173</v>
      </c>
    </row>
    <row r="12" spans="1:10" x14ac:dyDescent="0.25">
      <c r="B12" s="9" t="s">
        <v>18</v>
      </c>
      <c r="C12" s="32">
        <f>D12</f>
        <v>3.4965034965034968E-2</v>
      </c>
      <c r="D12" s="60">
        <f>((LEFT(D11,FIND("m",D11)-1)*60+MID(D11,FIND(" ",D11)+1,FIND("s",D11)-FIND(" ",D11)-1))-(LEFT(H30,FIND("m",H30)-1)*60+MID(H30,FIND(" ",H30)+1,FIND("s",H30)-FIND(" ",H30)-1)))/(LEFT(H30,FIND("m",H30)-1)*60+MID(H30,FIND(" ",H30)+1,FIND("s",H30)-FIND(" ",H30)-1))</f>
        <v>3.4965034965034968E-2</v>
      </c>
      <c r="E12" s="32">
        <f>F12</f>
        <v>6.9111424541607902E-2</v>
      </c>
      <c r="F12" s="60">
        <f>((LEFT(F11,FIND("m",F11)-1)*60+MID(F11,FIND(" ",F11)+1,FIND("s",F11)-FIND(" ",F11)-1))-(LEFT(J30,FIND("m",J30)-1)*60+MID(J30,FIND(" ",J30)+1,FIND("s",J30)-FIND(" ",J30)-1)))/(LEFT(J30,FIND("m",J30)-1)*60+MID(J30,FIND(" ",J30)+1,FIND("s",J30)-FIND(" ",J30)-1))</f>
        <v>6.9111424541607902E-2</v>
      </c>
      <c r="G12" s="35"/>
      <c r="H12" s="21" t="s">
        <v>9</v>
      </c>
    </row>
    <row r="13" spans="1:10" x14ac:dyDescent="0.25">
      <c r="A13" s="44"/>
      <c r="B13" s="9" t="s">
        <v>19</v>
      </c>
      <c r="C13" s="32">
        <f>D13</f>
        <v>-9.6557120500782467E-2</v>
      </c>
      <c r="D13" s="60">
        <f>(D9-K29)/K29</f>
        <v>-9.6557120500782467E-2</v>
      </c>
      <c r="E13" s="32">
        <f>F13</f>
        <v>-1.3333333333333334E-2</v>
      </c>
      <c r="F13" s="60">
        <f>(F9-M29)/M29</f>
        <v>-1.3333333333333334E-2</v>
      </c>
      <c r="G13" s="61"/>
      <c r="H13" s="62" t="s">
        <v>10</v>
      </c>
    </row>
    <row r="14" spans="1:10" x14ac:dyDescent="0.25">
      <c r="B14" s="9" t="s">
        <v>20</v>
      </c>
      <c r="C14" s="33">
        <f>ABS(D14)</f>
        <v>0.14000000000000001</v>
      </c>
      <c r="D14" s="34">
        <v>0.14000000000000001</v>
      </c>
      <c r="E14" s="33"/>
      <c r="F14" s="39" t="s">
        <v>9</v>
      </c>
      <c r="G14" s="40"/>
      <c r="H14" s="15" t="s">
        <v>9</v>
      </c>
      <c r="J14" t="s">
        <v>174</v>
      </c>
    </row>
    <row r="15" spans="1:10" x14ac:dyDescent="0.25">
      <c r="B15" s="9" t="s">
        <v>21</v>
      </c>
      <c r="C15" s="10">
        <f>D15</f>
        <v>0.94</v>
      </c>
      <c r="D15" s="60">
        <v>0.94</v>
      </c>
      <c r="E15" s="37"/>
      <c r="F15" s="39" t="s">
        <v>9</v>
      </c>
      <c r="G15" s="40"/>
      <c r="H15" s="15" t="s">
        <v>9</v>
      </c>
      <c r="J15" t="s">
        <v>175</v>
      </c>
    </row>
    <row r="16" spans="1:10" x14ac:dyDescent="0.25">
      <c r="B16" s="9" t="s">
        <v>22</v>
      </c>
      <c r="C16" s="10">
        <f>D16</f>
        <v>0.23</v>
      </c>
      <c r="D16" s="60">
        <v>0.23</v>
      </c>
      <c r="E16" s="37"/>
      <c r="F16" s="39" t="s">
        <v>9</v>
      </c>
      <c r="G16" s="40"/>
      <c r="H16" s="15" t="s">
        <v>9</v>
      </c>
      <c r="J16" t="s">
        <v>176</v>
      </c>
    </row>
    <row r="18" spans="1:21" ht="67.5" customHeight="1" x14ac:dyDescent="0.25">
      <c r="I18" s="134"/>
      <c r="J18" s="134"/>
      <c r="K18" s="134"/>
      <c r="L18" s="134"/>
      <c r="M18" s="134"/>
      <c r="N18" s="134"/>
      <c r="O18" s="134"/>
    </row>
    <row r="21" spans="1:21" x14ac:dyDescent="0.25">
      <c r="B21" s="43" t="s">
        <v>53</v>
      </c>
    </row>
    <row r="22" spans="1:21" x14ac:dyDescent="0.25">
      <c r="B22" s="133" t="s">
        <v>54</v>
      </c>
      <c r="C22" s="133"/>
      <c r="D22" s="133"/>
      <c r="E22" s="133"/>
      <c r="F22" s="133"/>
      <c r="G22" s="133"/>
      <c r="H22" s="133"/>
    </row>
    <row r="24" spans="1:21" ht="38.25" customHeight="1" x14ac:dyDescent="0.25"/>
    <row r="25" spans="1:21" x14ac:dyDescent="0.25">
      <c r="A25" s="66"/>
      <c r="B25" s="92" t="s">
        <v>152</v>
      </c>
      <c r="C25" s="66"/>
      <c r="D25" s="66"/>
      <c r="E25" s="66"/>
      <c r="F25" s="66"/>
      <c r="G25" s="66"/>
      <c r="H25" s="93" t="s">
        <v>159</v>
      </c>
      <c r="I25" s="94"/>
      <c r="J25" s="94"/>
      <c r="K25" s="94"/>
      <c r="L25" s="94"/>
      <c r="M25" s="94"/>
      <c r="N25" s="66"/>
      <c r="O25" s="66"/>
      <c r="P25" s="66"/>
      <c r="Q25" s="66"/>
      <c r="R25" s="66"/>
      <c r="S25" s="66"/>
      <c r="T25" s="66"/>
      <c r="U25" s="66"/>
    </row>
    <row r="26" spans="1:21" x14ac:dyDescent="0.25">
      <c r="A26" s="66"/>
      <c r="B26" s="94" t="s">
        <v>76</v>
      </c>
      <c r="C26" s="94"/>
      <c r="D26" s="94"/>
      <c r="E26" s="94"/>
      <c r="F26" s="66"/>
      <c r="G26" s="66"/>
      <c r="H26" s="94" t="s">
        <v>77</v>
      </c>
      <c r="I26" s="94"/>
      <c r="J26" s="94"/>
      <c r="K26" s="94" t="s">
        <v>78</v>
      </c>
      <c r="L26" s="94"/>
      <c r="M26" s="94"/>
      <c r="N26" s="66"/>
      <c r="O26" s="66"/>
      <c r="P26" s="66"/>
      <c r="Q26" s="66"/>
      <c r="R26" s="66"/>
      <c r="S26" s="66"/>
      <c r="T26" s="66"/>
      <c r="U26" s="66"/>
    </row>
    <row r="27" spans="1:21" x14ac:dyDescent="0.25">
      <c r="A27" s="66"/>
      <c r="B27" s="94"/>
      <c r="C27" s="94"/>
      <c r="D27" s="94"/>
      <c r="E27" s="94"/>
      <c r="F27" s="66"/>
      <c r="G27" s="66"/>
      <c r="H27" s="94"/>
      <c r="I27" s="94"/>
      <c r="J27" s="94"/>
      <c r="K27" s="94"/>
      <c r="L27" s="94"/>
      <c r="M27" s="94"/>
      <c r="N27" s="66"/>
      <c r="O27" s="66"/>
      <c r="P27" s="66"/>
      <c r="Q27" s="66"/>
      <c r="R27" s="66"/>
      <c r="S27" s="66"/>
      <c r="T27" s="66"/>
      <c r="U27" s="66"/>
    </row>
    <row r="28" spans="1:21" x14ac:dyDescent="0.25">
      <c r="A28" s="66"/>
      <c r="B28" s="94"/>
      <c r="C28" s="94" t="s">
        <v>5</v>
      </c>
      <c r="D28" s="94" t="s">
        <v>74</v>
      </c>
      <c r="E28" s="94" t="s">
        <v>75</v>
      </c>
      <c r="F28" s="66"/>
      <c r="G28" s="66"/>
      <c r="H28" s="94" t="s">
        <v>5</v>
      </c>
      <c r="I28" s="94" t="s">
        <v>74</v>
      </c>
      <c r="J28" s="94" t="s">
        <v>75</v>
      </c>
      <c r="K28" s="94" t="s">
        <v>5</v>
      </c>
      <c r="L28" s="94"/>
      <c r="M28" s="94" t="s">
        <v>55</v>
      </c>
      <c r="N28" s="66"/>
      <c r="O28" s="66"/>
      <c r="P28" s="66"/>
      <c r="Q28" s="66"/>
      <c r="R28" s="66"/>
      <c r="S28" s="66"/>
      <c r="T28" s="66"/>
      <c r="U28" s="66"/>
    </row>
    <row r="29" spans="1:21" x14ac:dyDescent="0.25">
      <c r="A29" s="66"/>
      <c r="B29" s="94"/>
      <c r="C29" s="94"/>
      <c r="D29" s="94"/>
      <c r="E29" s="94"/>
      <c r="F29" s="66"/>
      <c r="G29" s="66"/>
      <c r="H29" s="94"/>
      <c r="I29" s="94"/>
      <c r="J29" s="94"/>
      <c r="K29" s="94">
        <f>SUM(B49:H49,J49:Q49)</f>
        <v>6390</v>
      </c>
      <c r="L29" s="94"/>
      <c r="M29" s="94">
        <f>I49</f>
        <v>600</v>
      </c>
      <c r="N29" s="66"/>
      <c r="O29" s="66"/>
      <c r="P29" s="66"/>
      <c r="Q29" s="66"/>
      <c r="R29" s="66"/>
      <c r="S29" s="66"/>
      <c r="T29" s="66"/>
      <c r="U29" s="66"/>
    </row>
    <row r="30" spans="1:21" ht="45" customHeight="1" x14ac:dyDescent="0.25">
      <c r="A30" s="66"/>
      <c r="B30" s="94" t="s">
        <v>62</v>
      </c>
      <c r="C30" s="94">
        <f>'Aneen''s copy'!I3</f>
        <v>4393.8</v>
      </c>
      <c r="D30" s="94">
        <f>'Aneen''s copy'!J3</f>
        <v>4958</v>
      </c>
      <c r="E30" s="94">
        <f>'Aneen''s copy'!K3</f>
        <v>596</v>
      </c>
      <c r="F30" s="66"/>
      <c r="G30" s="66"/>
      <c r="H30" s="94" t="s">
        <v>209</v>
      </c>
      <c r="I30" s="94"/>
      <c r="J30" s="94" t="s">
        <v>208</v>
      </c>
      <c r="K30" s="94"/>
      <c r="L30" s="94"/>
      <c r="M30" s="94"/>
      <c r="N30" s="66"/>
      <c r="O30" s="66"/>
      <c r="P30" s="66"/>
      <c r="Q30" s="66"/>
      <c r="R30" s="66"/>
      <c r="S30" s="66"/>
      <c r="T30" s="66"/>
      <c r="U30" s="66"/>
    </row>
    <row r="31" spans="1:21" x14ac:dyDescent="0.25">
      <c r="A31" s="66"/>
      <c r="B31" s="94" t="s">
        <v>63</v>
      </c>
      <c r="C31" s="94">
        <f>'Aneen''s copy'!I4</f>
        <v>6140.75</v>
      </c>
      <c r="D31" s="94">
        <f>'Aneen''s copy'!J4</f>
        <v>5624.75</v>
      </c>
      <c r="E31" s="94">
        <f>'Aneen''s copy'!K4</f>
        <v>725</v>
      </c>
      <c r="F31" s="66"/>
      <c r="G31" s="66"/>
      <c r="H31" s="66"/>
      <c r="I31" s="66"/>
      <c r="J31" s="66"/>
      <c r="K31" s="66"/>
      <c r="L31" s="66"/>
      <c r="M31" s="66"/>
      <c r="N31" s="66"/>
      <c r="O31" s="66"/>
      <c r="P31" s="66"/>
      <c r="Q31" s="66"/>
      <c r="R31" s="66"/>
      <c r="S31" s="66"/>
      <c r="T31" s="66"/>
      <c r="U31" s="66"/>
    </row>
    <row r="32" spans="1:21" x14ac:dyDescent="0.25">
      <c r="A32" s="66"/>
      <c r="B32" s="94" t="s">
        <v>64</v>
      </c>
      <c r="C32" s="94">
        <f>'Aneen''s copy'!I5</f>
        <v>6070.8</v>
      </c>
      <c r="D32" s="94">
        <f>'Aneen''s copy'!J5</f>
        <v>5964.4</v>
      </c>
      <c r="E32" s="94">
        <f>'Aneen''s copy'!K5</f>
        <v>760.4</v>
      </c>
      <c r="F32" s="66"/>
      <c r="G32" s="66"/>
      <c r="H32" s="66"/>
      <c r="I32" s="66"/>
      <c r="J32" s="66"/>
      <c r="K32" s="66"/>
      <c r="L32" s="66"/>
      <c r="M32" s="66"/>
      <c r="N32" s="66"/>
      <c r="O32" s="66"/>
      <c r="P32" s="66"/>
      <c r="Q32" s="66"/>
      <c r="R32" s="66"/>
      <c r="S32" s="66"/>
      <c r="T32" s="66"/>
      <c r="U32" s="66"/>
    </row>
    <row r="33" spans="1:21" x14ac:dyDescent="0.25">
      <c r="A33" s="66"/>
      <c r="B33" s="94" t="s">
        <v>65</v>
      </c>
      <c r="C33" s="94">
        <f>'Aneen''s copy'!I6</f>
        <v>5504.5</v>
      </c>
      <c r="D33" s="94">
        <f>'Aneen''s copy'!J6</f>
        <v>5956.5</v>
      </c>
      <c r="E33" s="94">
        <f>'Aneen''s copy'!K6</f>
        <v>681.75</v>
      </c>
      <c r="F33" s="66"/>
      <c r="G33" s="66"/>
      <c r="H33" s="66"/>
      <c r="I33" s="66"/>
      <c r="J33" s="66"/>
      <c r="K33" s="66"/>
      <c r="L33" s="66"/>
      <c r="M33" s="66"/>
      <c r="N33" s="66"/>
      <c r="O33" s="66"/>
      <c r="P33" s="66"/>
      <c r="Q33" s="66"/>
      <c r="R33" s="66"/>
      <c r="S33" s="66"/>
      <c r="T33" s="66"/>
      <c r="U33" s="66"/>
    </row>
    <row r="34" spans="1:21" x14ac:dyDescent="0.25">
      <c r="A34" s="66"/>
      <c r="B34" s="94" t="s">
        <v>66</v>
      </c>
      <c r="C34" s="94">
        <f>'Aneen''s copy'!I7</f>
        <v>5030.25</v>
      </c>
      <c r="D34" s="94">
        <f>'Aneen''s copy'!J7</f>
        <v>6245</v>
      </c>
      <c r="E34" s="94">
        <f>'Aneen''s copy'!K7</f>
        <v>688.5</v>
      </c>
      <c r="F34" s="66"/>
      <c r="G34" s="66"/>
      <c r="H34" s="66"/>
      <c r="I34" s="66"/>
      <c r="J34" s="66"/>
      <c r="K34" s="66"/>
      <c r="L34" s="66"/>
      <c r="M34" s="66"/>
      <c r="N34" s="66"/>
      <c r="O34" s="66"/>
      <c r="P34" s="66"/>
      <c r="Q34" s="66"/>
      <c r="R34" s="66"/>
      <c r="S34" s="66"/>
      <c r="T34" s="66"/>
      <c r="U34" s="66"/>
    </row>
    <row r="35" spans="1:21" x14ac:dyDescent="0.25">
      <c r="A35" s="66"/>
      <c r="B35" s="94" t="s">
        <v>67</v>
      </c>
      <c r="C35" s="94">
        <f>'Aneen''s copy'!I8</f>
        <v>4928</v>
      </c>
      <c r="D35" s="94">
        <f>'Aneen''s copy'!J8</f>
        <v>6030.8</v>
      </c>
      <c r="E35" s="94">
        <f>'Aneen''s copy'!K8</f>
        <v>774.8</v>
      </c>
      <c r="F35" s="66"/>
      <c r="G35" s="66"/>
      <c r="H35" s="66"/>
      <c r="I35" s="66"/>
      <c r="J35" s="66"/>
      <c r="K35" s="66"/>
      <c r="L35" s="66"/>
      <c r="M35" s="66"/>
      <c r="N35" s="66"/>
      <c r="O35" s="66"/>
      <c r="P35" s="66"/>
      <c r="Q35" s="66"/>
      <c r="R35" s="66"/>
      <c r="S35" s="66"/>
      <c r="T35" s="66"/>
      <c r="U35" s="66"/>
    </row>
    <row r="36" spans="1:21" x14ac:dyDescent="0.25">
      <c r="A36" s="66"/>
      <c r="B36" s="94" t="s">
        <v>68</v>
      </c>
      <c r="C36" s="94">
        <f>'Aneen''s copy'!I9</f>
        <v>3952.25</v>
      </c>
      <c r="D36" s="94">
        <f>'Aneen''s copy'!J9</f>
        <v>6050.5</v>
      </c>
      <c r="E36" s="94">
        <f>'Aneen''s copy'!K9</f>
        <v>724.5</v>
      </c>
      <c r="F36" s="66"/>
      <c r="G36" s="66"/>
      <c r="H36" s="66"/>
      <c r="I36" s="66"/>
      <c r="J36" s="66"/>
      <c r="K36" s="66"/>
      <c r="L36" s="66"/>
      <c r="M36" s="66"/>
      <c r="N36" s="66"/>
      <c r="O36" s="66"/>
      <c r="P36" s="66"/>
      <c r="Q36" s="66"/>
      <c r="R36" s="66"/>
      <c r="S36" s="66"/>
      <c r="T36" s="66"/>
      <c r="U36" s="66"/>
    </row>
    <row r="37" spans="1:21" x14ac:dyDescent="0.25">
      <c r="A37" s="66"/>
      <c r="B37" s="94" t="s">
        <v>69</v>
      </c>
      <c r="C37" s="94">
        <f>'Aneen''s copy'!I10</f>
        <v>4968.5</v>
      </c>
      <c r="D37" s="94">
        <f>'Aneen''s copy'!J10</f>
        <v>7520.25</v>
      </c>
      <c r="E37" s="94">
        <f>'Aneen''s copy'!K10</f>
        <v>617.25</v>
      </c>
      <c r="F37" s="66"/>
      <c r="G37" s="66"/>
      <c r="H37" s="66"/>
      <c r="I37" s="66"/>
      <c r="J37" s="66"/>
      <c r="K37" s="66"/>
      <c r="L37" s="66"/>
      <c r="M37" s="66"/>
      <c r="N37" s="66"/>
      <c r="O37" s="66"/>
      <c r="P37" s="66"/>
      <c r="Q37" s="66"/>
      <c r="R37" s="66"/>
      <c r="S37" s="66"/>
      <c r="T37" s="66"/>
      <c r="U37" s="66"/>
    </row>
    <row r="38" spans="1:21" x14ac:dyDescent="0.25">
      <c r="A38" s="66"/>
      <c r="B38" s="94" t="s">
        <v>70</v>
      </c>
      <c r="C38" s="94">
        <f>'Aneen''s copy'!I11</f>
        <v>5566.2</v>
      </c>
      <c r="D38" s="94">
        <f>'Aneen''s copy'!J11</f>
        <v>7883</v>
      </c>
      <c r="E38" s="94">
        <f>'Aneen''s copy'!K11</f>
        <v>744</v>
      </c>
      <c r="F38" s="66"/>
      <c r="G38" s="66"/>
      <c r="H38" s="66"/>
      <c r="I38" s="66"/>
      <c r="J38" s="66"/>
      <c r="K38" s="66"/>
      <c r="L38" s="66"/>
      <c r="M38" s="66"/>
      <c r="N38" s="66"/>
      <c r="O38" s="66"/>
      <c r="P38" s="66"/>
      <c r="Q38" s="66"/>
      <c r="R38" s="66"/>
      <c r="S38" s="66"/>
      <c r="T38" s="66"/>
      <c r="U38" s="66"/>
    </row>
    <row r="39" spans="1:21" x14ac:dyDescent="0.25">
      <c r="A39" s="66"/>
      <c r="B39" s="94" t="s">
        <v>71</v>
      </c>
      <c r="C39" s="94">
        <f>'Aneen''s copy'!I12</f>
        <v>5992.5</v>
      </c>
      <c r="D39" s="94">
        <f>'Aneen''s copy'!J12</f>
        <v>8414.75</v>
      </c>
      <c r="E39" s="94">
        <f>'Aneen''s copy'!K12</f>
        <v>805</v>
      </c>
      <c r="F39" s="66"/>
      <c r="G39" s="66"/>
      <c r="H39" s="66"/>
      <c r="I39" s="66"/>
      <c r="J39" s="66"/>
      <c r="K39" s="66"/>
      <c r="L39" s="66"/>
      <c r="M39" s="66"/>
      <c r="N39" s="66"/>
      <c r="O39" s="66"/>
      <c r="P39" s="66"/>
      <c r="Q39" s="66"/>
      <c r="R39" s="66"/>
      <c r="S39" s="66"/>
      <c r="T39" s="66"/>
      <c r="U39" s="66"/>
    </row>
    <row r="40" spans="1:21" x14ac:dyDescent="0.25">
      <c r="A40" s="66"/>
      <c r="B40" s="94" t="s">
        <v>72</v>
      </c>
      <c r="C40" s="94">
        <f>'Aneen''s copy'!I13</f>
        <v>6132</v>
      </c>
      <c r="D40" s="94">
        <f>'Aneen''s copy'!J13</f>
        <v>8622.75</v>
      </c>
      <c r="E40" s="94">
        <f>'Aneen''s copy'!K13</f>
        <v>905.5</v>
      </c>
      <c r="F40" s="66"/>
      <c r="G40" s="66"/>
      <c r="H40" s="66"/>
      <c r="I40" s="66"/>
      <c r="J40" s="66"/>
      <c r="K40" s="66"/>
      <c r="L40" s="66"/>
      <c r="M40" s="66"/>
      <c r="N40" s="66"/>
      <c r="O40" s="66"/>
      <c r="P40" s="66"/>
      <c r="Q40" s="66"/>
      <c r="R40" s="66"/>
      <c r="S40" s="66"/>
      <c r="T40" s="66"/>
      <c r="U40" s="66"/>
    </row>
    <row r="41" spans="1:21" x14ac:dyDescent="0.25">
      <c r="A41" s="66"/>
      <c r="B41" s="94" t="s">
        <v>73</v>
      </c>
      <c r="C41" s="94">
        <f>'Aneen''s copy'!I14</f>
        <v>4968.2</v>
      </c>
      <c r="D41" s="94">
        <f>'Aneen''s copy'!J14</f>
        <v>6577.8</v>
      </c>
      <c r="E41" s="94">
        <f>'Aneen''s copy'!K14</f>
        <v>648.6</v>
      </c>
      <c r="F41" s="66"/>
      <c r="G41" s="66"/>
      <c r="H41" s="66"/>
      <c r="I41" s="66"/>
      <c r="J41" s="66"/>
      <c r="K41" s="66"/>
      <c r="L41" s="66"/>
      <c r="M41" s="66"/>
      <c r="N41" s="66"/>
      <c r="O41" s="66"/>
      <c r="P41" s="66"/>
      <c r="Q41" s="66"/>
      <c r="R41" s="66"/>
      <c r="S41" s="66"/>
      <c r="T41" s="66"/>
      <c r="U41" s="66"/>
    </row>
    <row r="42" spans="1:21" x14ac:dyDescent="0.25">
      <c r="A42" s="66"/>
      <c r="B42" s="66"/>
      <c r="C42" s="66"/>
      <c r="D42" s="66"/>
      <c r="E42" s="66"/>
      <c r="F42" s="66"/>
      <c r="G42" s="66"/>
      <c r="H42" s="66"/>
      <c r="I42" s="66"/>
      <c r="J42" s="66"/>
      <c r="K42" s="66"/>
      <c r="L42" s="66"/>
      <c r="M42" s="66"/>
      <c r="N42" s="66"/>
      <c r="O42" s="66"/>
      <c r="P42" s="66"/>
      <c r="Q42" s="66"/>
      <c r="R42" s="66"/>
      <c r="S42" s="66"/>
      <c r="T42" s="66"/>
      <c r="U42" s="66"/>
    </row>
    <row r="43" spans="1:21" x14ac:dyDescent="0.25">
      <c r="A43" s="66"/>
      <c r="B43" s="66"/>
      <c r="C43" s="66"/>
      <c r="D43" s="66"/>
      <c r="E43" s="66"/>
      <c r="F43" s="66"/>
      <c r="G43" s="66"/>
      <c r="H43" s="66"/>
      <c r="I43" s="66"/>
      <c r="J43" s="66"/>
      <c r="K43" s="66"/>
      <c r="L43" s="66"/>
      <c r="M43" s="66"/>
      <c r="N43" s="66"/>
      <c r="O43" s="66"/>
      <c r="P43" s="66"/>
      <c r="Q43" s="66"/>
      <c r="R43" s="66"/>
      <c r="S43" s="66"/>
      <c r="T43" s="66"/>
      <c r="U43" s="66"/>
    </row>
    <row r="44" spans="1:21" x14ac:dyDescent="0.25">
      <c r="A44" s="66"/>
      <c r="B44" s="92" t="s">
        <v>153</v>
      </c>
      <c r="C44" s="66"/>
      <c r="D44" s="66"/>
      <c r="E44" s="66"/>
      <c r="F44" s="66"/>
      <c r="G44" s="66"/>
      <c r="H44" s="66"/>
      <c r="I44" s="66"/>
      <c r="J44" s="66"/>
      <c r="K44" s="66"/>
      <c r="L44" s="66"/>
      <c r="M44" s="66"/>
      <c r="N44" s="66"/>
      <c r="O44" s="66"/>
      <c r="P44" s="66"/>
      <c r="Q44" s="66"/>
      <c r="R44" s="66"/>
      <c r="S44" s="66"/>
      <c r="T44" s="66"/>
      <c r="U44" s="66"/>
    </row>
    <row r="45" spans="1:21" x14ac:dyDescent="0.25">
      <c r="A45" s="66"/>
      <c r="B45" s="94" t="s">
        <v>78</v>
      </c>
      <c r="C45" s="94"/>
      <c r="D45" s="94"/>
      <c r="E45" s="94"/>
      <c r="F45" s="94"/>
      <c r="G45" s="94"/>
      <c r="H45" s="94"/>
      <c r="I45" s="94"/>
      <c r="J45" s="94"/>
      <c r="K45" s="94"/>
      <c r="L45" s="94"/>
      <c r="M45" s="94"/>
      <c r="N45" s="94"/>
      <c r="O45" s="94"/>
      <c r="P45" s="94"/>
      <c r="Q45" s="94"/>
      <c r="R45" s="66"/>
      <c r="S45" s="66"/>
      <c r="T45" s="66"/>
      <c r="U45" s="66"/>
    </row>
    <row r="46" spans="1:21" x14ac:dyDescent="0.25">
      <c r="A46" s="66"/>
      <c r="B46" s="94"/>
      <c r="C46" s="94"/>
      <c r="D46" s="94"/>
      <c r="E46" s="94"/>
      <c r="F46" s="94"/>
      <c r="G46" s="94"/>
      <c r="H46" s="94"/>
      <c r="I46" s="94"/>
      <c r="J46" s="94"/>
      <c r="K46" s="94"/>
      <c r="L46" s="94"/>
      <c r="M46" s="94"/>
      <c r="N46" s="94"/>
      <c r="O46" s="94"/>
      <c r="P46" s="94"/>
      <c r="Q46" s="94"/>
      <c r="R46" s="66"/>
      <c r="S46" s="66"/>
      <c r="T46" s="66"/>
      <c r="U46" s="66"/>
    </row>
    <row r="47" spans="1:21" x14ac:dyDescent="0.25">
      <c r="A47" s="66"/>
      <c r="B47" s="94"/>
      <c r="C47" s="94"/>
      <c r="D47" s="94"/>
      <c r="E47" s="94"/>
      <c r="F47" s="94"/>
      <c r="G47" s="94"/>
      <c r="H47" s="94"/>
      <c r="I47" s="94"/>
      <c r="J47" s="94"/>
      <c r="K47" s="94"/>
      <c r="L47" s="94"/>
      <c r="M47" s="94"/>
      <c r="N47" s="94"/>
      <c r="O47" s="94"/>
      <c r="P47" s="94"/>
      <c r="Q47" s="94"/>
      <c r="R47" s="66"/>
      <c r="S47" s="66"/>
      <c r="T47" s="66"/>
      <c r="U47" s="66"/>
    </row>
    <row r="48" spans="1:21" x14ac:dyDescent="0.25">
      <c r="A48" s="66"/>
      <c r="B48" s="95" t="s">
        <v>40</v>
      </c>
      <c r="C48" s="95" t="s">
        <v>42</v>
      </c>
      <c r="D48" s="95" t="s">
        <v>36</v>
      </c>
      <c r="E48" s="95" t="s">
        <v>79</v>
      </c>
      <c r="F48" s="95" t="s">
        <v>80</v>
      </c>
      <c r="G48" s="95" t="s">
        <v>81</v>
      </c>
      <c r="H48" s="95" t="s">
        <v>82</v>
      </c>
      <c r="I48" s="95" t="s">
        <v>55</v>
      </c>
      <c r="J48" s="95" t="s">
        <v>38</v>
      </c>
      <c r="K48" s="95" t="s">
        <v>83</v>
      </c>
      <c r="L48" s="95" t="s">
        <v>84</v>
      </c>
      <c r="M48" s="95" t="s">
        <v>31</v>
      </c>
      <c r="N48" s="95" t="s">
        <v>85</v>
      </c>
      <c r="O48" s="95" t="s">
        <v>86</v>
      </c>
      <c r="P48" s="95" t="s">
        <v>34</v>
      </c>
      <c r="Q48" s="95" t="s">
        <v>87</v>
      </c>
      <c r="R48" s="66"/>
      <c r="S48" s="66"/>
      <c r="T48" s="66"/>
      <c r="U48" s="66"/>
    </row>
    <row r="49" spans="1:21" x14ac:dyDescent="0.25">
      <c r="A49" s="66"/>
      <c r="B49" s="96">
        <v>420</v>
      </c>
      <c r="C49" s="96">
        <v>600</v>
      </c>
      <c r="D49" s="96">
        <v>320</v>
      </c>
      <c r="E49" s="96">
        <v>380</v>
      </c>
      <c r="F49" s="96">
        <v>600</v>
      </c>
      <c r="G49" s="96">
        <v>420</v>
      </c>
      <c r="H49" s="96">
        <v>380</v>
      </c>
      <c r="I49" s="96">
        <v>600</v>
      </c>
      <c r="J49" s="96">
        <v>390</v>
      </c>
      <c r="K49" s="96">
        <v>330</v>
      </c>
      <c r="L49" s="96">
        <v>390</v>
      </c>
      <c r="M49" s="96">
        <v>420</v>
      </c>
      <c r="N49" s="96">
        <v>420</v>
      </c>
      <c r="O49" s="96">
        <v>510</v>
      </c>
      <c r="P49" s="96">
        <v>510</v>
      </c>
      <c r="Q49" s="96">
        <v>300</v>
      </c>
      <c r="R49" s="66"/>
      <c r="S49" s="66"/>
      <c r="T49" s="66"/>
      <c r="U49" s="66"/>
    </row>
    <row r="50" spans="1:21" x14ac:dyDescent="0.25">
      <c r="A50" s="66"/>
      <c r="B50" s="66"/>
      <c r="C50" s="66"/>
      <c r="D50" s="66"/>
      <c r="E50" s="66"/>
      <c r="F50" s="66"/>
      <c r="G50" s="66"/>
      <c r="H50" s="66"/>
      <c r="I50" s="66"/>
      <c r="J50" s="66"/>
      <c r="K50" s="66"/>
      <c r="L50" s="66"/>
      <c r="M50" s="66"/>
      <c r="N50" s="66"/>
      <c r="O50" s="66"/>
      <c r="P50" s="66"/>
      <c r="Q50" s="66"/>
      <c r="R50" s="66"/>
      <c r="S50" s="66"/>
      <c r="T50" s="66"/>
      <c r="U50" s="66"/>
    </row>
    <row r="51" spans="1:21" x14ac:dyDescent="0.25">
      <c r="A51" s="66"/>
      <c r="B51" s="66"/>
      <c r="C51" s="66"/>
      <c r="D51" s="66"/>
      <c r="E51" s="66"/>
      <c r="F51" s="66"/>
      <c r="G51" s="66"/>
      <c r="H51" s="66"/>
      <c r="I51" s="66"/>
      <c r="J51" s="66"/>
      <c r="K51" s="66"/>
      <c r="L51" s="66"/>
      <c r="M51" s="66"/>
      <c r="N51" s="66"/>
      <c r="O51" s="66"/>
      <c r="P51" s="66"/>
      <c r="Q51" s="66"/>
      <c r="R51" s="66"/>
      <c r="S51" s="66"/>
      <c r="T51" s="66"/>
      <c r="U51" s="66"/>
    </row>
    <row r="52" spans="1:21" x14ac:dyDescent="0.25">
      <c r="A52" s="66"/>
      <c r="B52" s="66"/>
      <c r="C52" s="66"/>
      <c r="D52" s="66"/>
      <c r="E52" s="66"/>
      <c r="F52" s="66"/>
      <c r="G52" s="66"/>
      <c r="H52" s="66"/>
      <c r="I52" s="66"/>
      <c r="J52" s="66"/>
      <c r="K52" s="66"/>
      <c r="L52" s="66"/>
      <c r="M52" s="66"/>
      <c r="N52" s="66"/>
      <c r="O52" s="66"/>
      <c r="P52" s="66"/>
      <c r="Q52" s="66"/>
      <c r="R52" s="66"/>
      <c r="S52" s="66"/>
      <c r="T52" s="66"/>
      <c r="U52" s="66"/>
    </row>
    <row r="53" spans="1:21" x14ac:dyDescent="0.25">
      <c r="A53" s="66"/>
      <c r="B53" s="66"/>
      <c r="C53" s="66"/>
      <c r="D53" s="66"/>
      <c r="E53" s="66"/>
      <c r="F53" s="66"/>
      <c r="G53" s="66"/>
      <c r="H53" s="66"/>
      <c r="I53" s="66"/>
      <c r="J53" s="66"/>
      <c r="K53" s="66"/>
      <c r="L53" s="66"/>
      <c r="M53" s="66"/>
      <c r="N53" s="66"/>
      <c r="O53" s="66"/>
      <c r="P53" s="66"/>
      <c r="Q53" s="66"/>
      <c r="R53" s="66"/>
      <c r="S53" s="66"/>
      <c r="T53" s="66"/>
      <c r="U53" s="66"/>
    </row>
    <row r="54" spans="1:21" x14ac:dyDescent="0.25">
      <c r="A54" s="66"/>
      <c r="B54" s="66"/>
      <c r="C54" s="66"/>
      <c r="D54" s="66"/>
      <c r="E54" s="66"/>
      <c r="F54" s="66"/>
      <c r="G54" s="66"/>
      <c r="H54" s="66"/>
      <c r="I54" s="66"/>
      <c r="J54" s="66"/>
      <c r="K54" s="66"/>
      <c r="L54" s="66"/>
      <c r="M54" s="66"/>
      <c r="N54" s="66"/>
      <c r="O54" s="66"/>
      <c r="P54" s="66"/>
      <c r="Q54" s="66"/>
      <c r="R54" s="66"/>
      <c r="S54" s="66"/>
      <c r="T54" s="66"/>
      <c r="U54" s="66"/>
    </row>
    <row r="55" spans="1:21" x14ac:dyDescent="0.25">
      <c r="A55" s="66"/>
      <c r="B55" s="66"/>
      <c r="C55" s="66"/>
      <c r="D55" s="66"/>
      <c r="E55" s="66"/>
      <c r="F55" s="66"/>
      <c r="G55" s="66"/>
      <c r="H55" s="66"/>
      <c r="I55" s="66"/>
      <c r="J55" s="66"/>
      <c r="K55" s="66"/>
      <c r="L55" s="66"/>
      <c r="M55" s="66"/>
      <c r="N55" s="66"/>
      <c r="O55" s="66"/>
      <c r="P55" s="66"/>
      <c r="Q55" s="66"/>
      <c r="R55" s="66"/>
      <c r="S55" s="66"/>
      <c r="T55" s="66"/>
      <c r="U55" s="66"/>
    </row>
    <row r="56" spans="1:21" x14ac:dyDescent="0.25">
      <c r="A56" s="66"/>
      <c r="B56" s="66"/>
      <c r="C56" s="66"/>
      <c r="D56" s="66"/>
      <c r="E56" s="66"/>
      <c r="F56" s="66"/>
      <c r="G56" s="66"/>
      <c r="H56" s="66"/>
      <c r="I56" s="66"/>
      <c r="J56" s="66"/>
      <c r="K56" s="66"/>
      <c r="L56" s="66"/>
      <c r="M56" s="66"/>
      <c r="N56" s="66"/>
      <c r="O56" s="66"/>
      <c r="P56" s="66"/>
      <c r="Q56" s="66"/>
      <c r="R56" s="66"/>
      <c r="S56" s="66"/>
      <c r="T56" s="66"/>
      <c r="U56" s="66"/>
    </row>
    <row r="57" spans="1:21" x14ac:dyDescent="0.25">
      <c r="A57" s="66"/>
      <c r="B57" s="66"/>
      <c r="C57" s="66"/>
      <c r="D57" s="66"/>
      <c r="E57" s="66"/>
      <c r="F57" s="66"/>
      <c r="G57" s="66"/>
      <c r="H57" s="66"/>
      <c r="I57" s="66"/>
      <c r="J57" s="66"/>
      <c r="K57" s="66"/>
      <c r="L57" s="66"/>
      <c r="M57" s="66"/>
      <c r="N57" s="66"/>
      <c r="O57" s="66"/>
      <c r="P57" s="66"/>
      <c r="Q57" s="66"/>
      <c r="R57" s="66"/>
      <c r="S57" s="66"/>
      <c r="T57" s="66"/>
      <c r="U57" s="66"/>
    </row>
    <row r="58" spans="1:21" x14ac:dyDescent="0.25">
      <c r="A58" s="66"/>
      <c r="B58" s="66"/>
      <c r="C58" s="66"/>
      <c r="D58" s="66"/>
      <c r="E58" s="66"/>
      <c r="F58" s="66"/>
      <c r="G58" s="66"/>
      <c r="H58" s="66"/>
      <c r="I58" s="66"/>
      <c r="J58" s="66"/>
      <c r="K58" s="66"/>
      <c r="L58" s="66"/>
      <c r="M58" s="66"/>
      <c r="N58" s="66"/>
      <c r="O58" s="66"/>
      <c r="P58" s="66"/>
      <c r="Q58" s="66"/>
      <c r="R58" s="66"/>
      <c r="S58" s="66"/>
      <c r="T58" s="66"/>
      <c r="U58" s="66"/>
    </row>
    <row r="59" spans="1:21" x14ac:dyDescent="0.25">
      <c r="A59" s="66"/>
      <c r="B59" s="66"/>
      <c r="C59" s="66"/>
      <c r="D59" s="66"/>
      <c r="E59" s="66"/>
      <c r="F59" s="66"/>
      <c r="G59" s="66"/>
      <c r="H59" s="66"/>
      <c r="I59" s="66"/>
      <c r="J59" s="66"/>
      <c r="K59" s="66"/>
      <c r="L59" s="66"/>
      <c r="M59" s="66"/>
      <c r="N59" s="66"/>
      <c r="O59" s="66"/>
      <c r="P59" s="66"/>
      <c r="Q59" s="66"/>
      <c r="R59" s="66"/>
      <c r="S59" s="66"/>
      <c r="T59" s="66"/>
      <c r="U59" s="66"/>
    </row>
    <row r="60" spans="1:21" x14ac:dyDescent="0.25">
      <c r="A60" s="66"/>
      <c r="B60" s="66"/>
      <c r="C60" s="66"/>
      <c r="D60" s="66"/>
      <c r="E60" s="66"/>
      <c r="F60" s="66"/>
      <c r="G60" s="66"/>
      <c r="H60" s="66"/>
      <c r="I60" s="66"/>
      <c r="J60" s="66"/>
      <c r="K60" s="66"/>
      <c r="L60" s="66"/>
      <c r="M60" s="66"/>
      <c r="N60" s="66"/>
      <c r="O60" s="66"/>
      <c r="P60" s="66"/>
      <c r="Q60" s="66"/>
      <c r="R60" s="66"/>
      <c r="S60" s="66"/>
      <c r="T60" s="66"/>
      <c r="U60" s="66"/>
    </row>
    <row r="61" spans="1:21" x14ac:dyDescent="0.25">
      <c r="A61" s="66"/>
      <c r="B61" s="66"/>
      <c r="C61" s="66"/>
      <c r="D61" s="66"/>
      <c r="E61" s="66"/>
      <c r="F61" s="66"/>
      <c r="G61" s="66"/>
      <c r="H61" s="66"/>
      <c r="I61" s="66"/>
      <c r="J61" s="66"/>
      <c r="K61" s="66"/>
      <c r="L61" s="66"/>
      <c r="M61" s="66"/>
      <c r="N61" s="66"/>
      <c r="O61" s="66"/>
      <c r="P61" s="66"/>
      <c r="Q61" s="66"/>
      <c r="R61" s="66"/>
      <c r="S61" s="66"/>
      <c r="T61" s="66"/>
      <c r="U61" s="66"/>
    </row>
    <row r="62" spans="1:21" x14ac:dyDescent="0.25">
      <c r="A62" s="66"/>
      <c r="B62" s="66"/>
      <c r="C62" s="66"/>
      <c r="D62" s="66"/>
      <c r="E62" s="66"/>
      <c r="F62" s="66"/>
      <c r="G62" s="66"/>
      <c r="H62" s="66"/>
      <c r="I62" s="66"/>
      <c r="J62" s="66"/>
      <c r="K62" s="66"/>
      <c r="L62" s="66"/>
      <c r="M62" s="66"/>
      <c r="N62" s="66"/>
      <c r="O62" s="66"/>
      <c r="P62" s="66"/>
      <c r="Q62" s="66"/>
      <c r="R62" s="66"/>
      <c r="S62" s="66"/>
      <c r="T62" s="66"/>
      <c r="U62" s="66"/>
    </row>
    <row r="63" spans="1:21" x14ac:dyDescent="0.25">
      <c r="A63" s="66"/>
      <c r="B63" s="66"/>
      <c r="C63" s="66"/>
      <c r="D63" s="66"/>
      <c r="E63" s="66"/>
      <c r="F63" s="66"/>
      <c r="G63" s="66"/>
      <c r="H63" s="66"/>
      <c r="I63" s="66"/>
      <c r="J63" s="66"/>
      <c r="K63" s="66"/>
      <c r="L63" s="66"/>
      <c r="M63" s="66"/>
      <c r="N63" s="66"/>
      <c r="O63" s="66"/>
      <c r="P63" s="66"/>
      <c r="Q63" s="66"/>
      <c r="R63" s="66"/>
      <c r="S63" s="66"/>
      <c r="T63" s="66"/>
      <c r="U63" s="66"/>
    </row>
    <row r="64" spans="1:21" x14ac:dyDescent="0.25">
      <c r="A64" s="66"/>
      <c r="B64" s="66"/>
      <c r="C64" s="66"/>
      <c r="D64" s="66"/>
      <c r="E64" s="66"/>
      <c r="F64" s="66"/>
      <c r="G64" s="66"/>
      <c r="H64" s="66"/>
      <c r="I64" s="66"/>
      <c r="J64" s="66"/>
      <c r="K64" s="66"/>
      <c r="L64" s="66"/>
      <c r="M64" s="66"/>
      <c r="N64" s="66"/>
      <c r="O64" s="66"/>
      <c r="P64" s="66"/>
      <c r="Q64" s="66"/>
      <c r="R64" s="66"/>
      <c r="S64" s="66"/>
      <c r="T64" s="66"/>
      <c r="U64" s="66"/>
    </row>
    <row r="65" spans="1:21" x14ac:dyDescent="0.25">
      <c r="A65" s="66"/>
      <c r="B65" s="66"/>
      <c r="C65" s="66"/>
      <c r="D65" s="66"/>
      <c r="E65" s="66"/>
      <c r="F65" s="66"/>
      <c r="G65" s="66"/>
      <c r="H65" s="66"/>
      <c r="I65" s="66"/>
      <c r="J65" s="66"/>
      <c r="K65" s="66"/>
      <c r="L65" s="66"/>
      <c r="M65" s="66"/>
      <c r="N65" s="66"/>
      <c r="O65" s="66"/>
      <c r="P65" s="66"/>
      <c r="Q65" s="66"/>
      <c r="R65" s="66"/>
      <c r="S65" s="66"/>
      <c r="T65" s="66"/>
      <c r="U65" s="66"/>
    </row>
    <row r="66" spans="1:21" x14ac:dyDescent="0.25">
      <c r="A66" s="66"/>
      <c r="B66" s="66"/>
      <c r="C66" s="66"/>
      <c r="D66" s="66"/>
      <c r="E66" s="66"/>
      <c r="F66" s="66"/>
      <c r="G66" s="66"/>
      <c r="H66" s="66"/>
      <c r="I66" s="66"/>
      <c r="J66" s="66"/>
      <c r="K66" s="66"/>
      <c r="L66" s="66"/>
      <c r="M66" s="66"/>
      <c r="N66" s="66"/>
      <c r="O66" s="66"/>
      <c r="P66" s="66"/>
      <c r="Q66" s="66"/>
      <c r="R66" s="66"/>
      <c r="S66" s="66"/>
      <c r="T66" s="66"/>
      <c r="U66" s="66"/>
    </row>
    <row r="67" spans="1:21" x14ac:dyDescent="0.25">
      <c r="A67" s="66"/>
      <c r="B67" s="66"/>
      <c r="C67" s="66"/>
      <c r="D67" s="66"/>
      <c r="E67" s="66"/>
      <c r="F67" s="66"/>
      <c r="G67" s="66"/>
      <c r="H67" s="66"/>
      <c r="I67" s="66"/>
      <c r="J67" s="66"/>
      <c r="K67" s="66"/>
      <c r="L67" s="66"/>
      <c r="M67" s="66"/>
      <c r="N67" s="66"/>
      <c r="O67" s="66"/>
      <c r="P67" s="66"/>
      <c r="Q67" s="66"/>
      <c r="R67" s="66"/>
      <c r="S67" s="66"/>
      <c r="T67" s="66"/>
      <c r="U67" s="66"/>
    </row>
    <row r="68" spans="1:21" x14ac:dyDescent="0.25">
      <c r="A68" s="66"/>
      <c r="B68" s="66"/>
      <c r="C68" s="66"/>
      <c r="D68" s="66"/>
      <c r="E68" s="66"/>
      <c r="F68" s="66"/>
      <c r="G68" s="66"/>
      <c r="H68" s="66"/>
      <c r="I68" s="66"/>
      <c r="J68" s="66"/>
      <c r="K68" s="66"/>
      <c r="L68" s="66"/>
      <c r="M68" s="66"/>
      <c r="N68" s="66"/>
      <c r="O68" s="66"/>
      <c r="P68" s="66"/>
      <c r="Q68" s="66"/>
      <c r="R68" s="66"/>
      <c r="S68" s="66"/>
      <c r="T68" s="66"/>
      <c r="U68" s="66"/>
    </row>
    <row r="69" spans="1:21" x14ac:dyDescent="0.25">
      <c r="A69" s="66"/>
      <c r="B69" s="66"/>
      <c r="C69" s="66"/>
      <c r="D69" s="66"/>
      <c r="E69" s="66"/>
      <c r="F69" s="66"/>
      <c r="G69" s="66"/>
      <c r="H69" s="66"/>
      <c r="I69" s="66"/>
      <c r="J69" s="66"/>
      <c r="K69" s="66"/>
      <c r="L69" s="66"/>
      <c r="M69" s="66"/>
      <c r="N69" s="66"/>
      <c r="O69" s="66"/>
      <c r="P69" s="66"/>
      <c r="Q69" s="66"/>
      <c r="R69" s="66"/>
      <c r="S69" s="66"/>
      <c r="T69" s="66"/>
      <c r="U69" s="66"/>
    </row>
    <row r="70" spans="1:21" x14ac:dyDescent="0.25">
      <c r="A70" s="66"/>
      <c r="B70" s="66"/>
      <c r="C70" s="66"/>
      <c r="D70" s="66"/>
      <c r="E70" s="66"/>
      <c r="F70" s="66"/>
      <c r="G70" s="66"/>
      <c r="H70" s="66"/>
      <c r="I70" s="66"/>
      <c r="J70" s="66"/>
      <c r="K70" s="66"/>
      <c r="L70" s="66"/>
      <c r="M70" s="66"/>
      <c r="N70" s="66"/>
      <c r="O70" s="66"/>
      <c r="P70" s="66"/>
      <c r="Q70" s="66"/>
      <c r="R70" s="66"/>
      <c r="S70" s="66"/>
      <c r="T70" s="66"/>
      <c r="U70" s="66"/>
    </row>
    <row r="71" spans="1:21" x14ac:dyDescent="0.25">
      <c r="A71" s="66"/>
      <c r="B71" s="66"/>
      <c r="C71" s="66"/>
      <c r="D71" s="66"/>
      <c r="E71" s="66"/>
      <c r="F71" s="66"/>
      <c r="G71" s="66"/>
      <c r="H71" s="66"/>
      <c r="I71" s="66"/>
      <c r="J71" s="66"/>
      <c r="K71" s="66"/>
      <c r="L71" s="66"/>
      <c r="M71" s="66"/>
      <c r="N71" s="66"/>
      <c r="O71" s="66"/>
      <c r="P71" s="66"/>
      <c r="Q71" s="66"/>
      <c r="R71" s="66"/>
      <c r="S71" s="66"/>
      <c r="T71" s="66"/>
      <c r="U71" s="66"/>
    </row>
    <row r="72" spans="1:21" x14ac:dyDescent="0.25">
      <c r="A72" s="66"/>
      <c r="B72" s="66"/>
      <c r="C72" s="66"/>
      <c r="D72" s="66"/>
      <c r="E72" s="66"/>
      <c r="F72" s="66"/>
      <c r="G72" s="66"/>
      <c r="H72" s="66"/>
      <c r="I72" s="66"/>
      <c r="J72" s="66"/>
      <c r="K72" s="66"/>
      <c r="L72" s="66"/>
      <c r="M72" s="66"/>
      <c r="N72" s="66"/>
      <c r="O72" s="66"/>
      <c r="P72" s="66"/>
      <c r="Q72" s="66"/>
      <c r="R72" s="66"/>
      <c r="S72" s="66"/>
      <c r="T72" s="66"/>
      <c r="U72" s="66"/>
    </row>
    <row r="73" spans="1:21" x14ac:dyDescent="0.25">
      <c r="A73" s="66"/>
      <c r="B73" s="66"/>
      <c r="C73" s="66"/>
      <c r="D73" s="66"/>
      <c r="E73" s="66"/>
      <c r="F73" s="66"/>
      <c r="G73" s="66"/>
      <c r="H73" s="66"/>
      <c r="I73" s="66"/>
      <c r="J73" s="66"/>
      <c r="K73" s="66"/>
      <c r="L73" s="66"/>
      <c r="M73" s="66"/>
      <c r="N73" s="66"/>
      <c r="O73" s="66"/>
      <c r="P73" s="66"/>
      <c r="Q73" s="66"/>
      <c r="R73" s="66"/>
      <c r="S73" s="66"/>
      <c r="T73" s="66"/>
      <c r="U73" s="66"/>
    </row>
    <row r="74" spans="1:21" x14ac:dyDescent="0.25">
      <c r="A74" s="66"/>
      <c r="B74" s="66"/>
      <c r="C74" s="66"/>
      <c r="D74" s="66"/>
      <c r="E74" s="66"/>
      <c r="F74" s="66"/>
      <c r="G74" s="66"/>
      <c r="H74" s="66"/>
      <c r="I74" s="66"/>
      <c r="J74" s="66"/>
      <c r="K74" s="66"/>
      <c r="L74" s="66"/>
      <c r="M74" s="66"/>
      <c r="N74" s="66"/>
      <c r="O74" s="66"/>
      <c r="P74" s="66"/>
      <c r="Q74" s="66"/>
      <c r="R74" s="66"/>
      <c r="S74" s="66"/>
      <c r="T74" s="66"/>
      <c r="U74" s="66"/>
    </row>
    <row r="75" spans="1:21" x14ac:dyDescent="0.25">
      <c r="A75" s="66"/>
      <c r="B75" s="66"/>
      <c r="C75" s="66"/>
      <c r="D75" s="66"/>
      <c r="E75" s="66"/>
      <c r="F75" s="66"/>
      <c r="G75" s="66"/>
      <c r="H75" s="66"/>
      <c r="I75" s="66"/>
      <c r="J75" s="66"/>
      <c r="K75" s="66"/>
      <c r="L75" s="66"/>
      <c r="M75" s="66"/>
      <c r="N75" s="66"/>
      <c r="O75" s="66"/>
      <c r="P75" s="66"/>
      <c r="Q75" s="66"/>
      <c r="R75" s="66"/>
      <c r="S75" s="66"/>
      <c r="T75" s="66"/>
      <c r="U75" s="66"/>
    </row>
  </sheetData>
  <mergeCells count="5">
    <mergeCell ref="C3:D3"/>
    <mergeCell ref="E3:F3"/>
    <mergeCell ref="G3:H3"/>
    <mergeCell ref="B22:H22"/>
    <mergeCell ref="I18:O18"/>
  </mergeCells>
  <phoneticPr fontId="13" type="noConversion"/>
  <conditionalFormatting sqref="C6">
    <cfRule type="iconSet" priority="3">
      <iconSet showValue="0">
        <cfvo type="percent" val="0"/>
        <cfvo type="percent" val="0.75"/>
        <cfvo type="percent" val="0.8"/>
      </iconSet>
    </cfRule>
  </conditionalFormatting>
  <conditionalFormatting sqref="C7">
    <cfRule type="iconSet" priority="20">
      <iconSet showValue="0" reverse="1">
        <cfvo type="percent" val="0"/>
        <cfvo type="num" val="31"/>
        <cfvo type="num" val="36"/>
      </iconSet>
    </cfRule>
  </conditionalFormatting>
  <conditionalFormatting sqref="C8">
    <cfRule type="iconSet" priority="13">
      <iconSet showValue="0" reverse="1">
        <cfvo type="percent" val="0"/>
        <cfvo type="percent" val="3"/>
        <cfvo type="percent" val="5"/>
      </iconSet>
    </cfRule>
  </conditionalFormatting>
  <conditionalFormatting sqref="C10">
    <cfRule type="iconSet" priority="16">
      <iconSet showValue="0" reverse="1">
        <cfvo type="percent" val="0"/>
        <cfvo type="num" val="0.06"/>
        <cfvo type="num" val="0.11"/>
      </iconSet>
    </cfRule>
  </conditionalFormatting>
  <conditionalFormatting sqref="C12:C13">
    <cfRule type="iconSet" priority="14">
      <iconSet showValue="0">
        <cfvo type="percent" val="0"/>
        <cfvo type="percent" val="11"/>
        <cfvo type="percent" val="20"/>
      </iconSet>
    </cfRule>
  </conditionalFormatting>
  <conditionalFormatting sqref="C14">
    <cfRule type="iconSet" priority="7">
      <iconSet showValue="0" reverse="1">
        <cfvo type="percent" val="0"/>
        <cfvo type="num" val="0.1"/>
        <cfvo type="num" val="0.2"/>
      </iconSet>
    </cfRule>
  </conditionalFormatting>
  <conditionalFormatting sqref="C15">
    <cfRule type="iconSet" priority="6">
      <iconSet showValue="0">
        <cfvo type="percent" val="0"/>
        <cfvo type="num" val="0.9"/>
        <cfvo type="num" val="0.95"/>
      </iconSet>
    </cfRule>
  </conditionalFormatting>
  <conditionalFormatting sqref="C16">
    <cfRule type="iconSet" priority="5">
      <iconSet showValue="0" reverse="1">
        <cfvo type="percent" val="0"/>
        <cfvo type="num" val="0.33"/>
        <cfvo type="num" val="0.35"/>
      </iconSet>
    </cfRule>
  </conditionalFormatting>
  <conditionalFormatting sqref="E6">
    <cfRule type="iconSet" priority="4">
      <iconSet showValue="0">
        <cfvo type="percent" val="0"/>
        <cfvo type="percent" val="0.75"/>
        <cfvo type="percent" val="0.8"/>
      </iconSet>
    </cfRule>
  </conditionalFormatting>
  <conditionalFormatting sqref="E7">
    <cfRule type="iconSet" priority="18">
      <iconSet showValue="0" reverse="1">
        <cfvo type="percent" val="0"/>
        <cfvo type="num" val="31"/>
        <cfvo type="num" val="36"/>
      </iconSet>
    </cfRule>
  </conditionalFormatting>
  <conditionalFormatting sqref="E10">
    <cfRule type="iconSet" priority="12">
      <iconSet showValue="0" reverse="1">
        <cfvo type="percent" val="0"/>
        <cfvo type="percent" val="11"/>
        <cfvo type="percent" val="20"/>
      </iconSet>
    </cfRule>
  </conditionalFormatting>
  <conditionalFormatting sqref="E12">
    <cfRule type="iconSet" priority="10">
      <iconSet showValue="0" reverse="1">
        <cfvo type="percent" val="0"/>
        <cfvo type="percent" val="11"/>
        <cfvo type="percent" val="20"/>
      </iconSet>
    </cfRule>
  </conditionalFormatting>
  <conditionalFormatting sqref="E13">
    <cfRule type="iconSet" priority="11">
      <iconSet showValue="0" reverse="1">
        <cfvo type="percent" val="0"/>
        <cfvo type="percent" val="11"/>
        <cfvo type="percent" val="20"/>
      </iconSet>
    </cfRule>
  </conditionalFormatting>
  <conditionalFormatting sqref="G6">
    <cfRule type="iconSet" priority="2">
      <iconSet showValue="0">
        <cfvo type="percent" val="0"/>
        <cfvo type="num" val="0.76"/>
        <cfvo type="num" val="0.8"/>
      </iconSet>
    </cfRule>
  </conditionalFormatting>
  <conditionalFormatting sqref="G10">
    <cfRule type="iconSet" priority="9">
      <iconSet showValue="0" reverse="1">
        <cfvo type="percent" val="0"/>
        <cfvo type="percent" val="11"/>
        <cfvo type="percent" val="20"/>
      </iconSet>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FC25C-8AA0-49C2-A89A-04AB6D321294}">
  <dimension ref="C2:AI69"/>
  <sheetViews>
    <sheetView showGridLines="0" tabSelected="1" zoomScale="53" zoomScaleNormal="100" workbookViewId="0">
      <selection activeCell="T59" sqref="T59"/>
    </sheetView>
  </sheetViews>
  <sheetFormatPr defaultRowHeight="15" x14ac:dyDescent="0.25"/>
  <cols>
    <col min="3" max="3" width="19.7109375" customWidth="1"/>
    <col min="4" max="4" width="6" customWidth="1"/>
    <col min="5" max="5" width="5.7109375" customWidth="1"/>
    <col min="6" max="6" width="8" customWidth="1"/>
    <col min="7" max="7" width="7.7109375" customWidth="1"/>
    <col min="8" max="8" width="5.5703125" customWidth="1"/>
    <col min="9" max="9" width="11.140625" customWidth="1"/>
    <col min="10" max="10" width="5.28515625" hidden="1" customWidth="1"/>
    <col min="11" max="11" width="5.42578125" customWidth="1"/>
    <col min="12" max="12" width="7.140625" customWidth="1"/>
    <col min="13" max="13" width="8.28515625" customWidth="1"/>
    <col min="14" max="14" width="7.42578125" customWidth="1"/>
    <col min="15" max="15" width="7" customWidth="1"/>
    <col min="16" max="16" width="10.85546875" customWidth="1"/>
    <col min="17" max="17" width="15.42578125" customWidth="1"/>
    <col min="19" max="21" width="39.28515625" customWidth="1"/>
    <col min="23" max="23" width="14.85546875" bestFit="1" customWidth="1"/>
    <col min="24" max="24" width="17.28515625" bestFit="1" customWidth="1"/>
    <col min="25" max="25" width="18.5703125" bestFit="1" customWidth="1"/>
    <col min="26" max="26" width="27.85546875" bestFit="1" customWidth="1"/>
    <col min="27" max="27" width="26" bestFit="1" customWidth="1"/>
    <col min="28" max="28" width="24" bestFit="1" customWidth="1"/>
    <col min="29" max="29" width="19" bestFit="1" customWidth="1"/>
    <col min="30" max="30" width="17" bestFit="1" customWidth="1"/>
    <col min="31" max="31" width="18.42578125" bestFit="1" customWidth="1"/>
    <col min="32" max="32" width="16.140625" bestFit="1" customWidth="1"/>
    <col min="33" max="33" width="13.7109375" bestFit="1" customWidth="1"/>
    <col min="34" max="34" width="16.7109375" bestFit="1" customWidth="1"/>
    <col min="35" max="35" width="11.28515625" bestFit="1" customWidth="1"/>
  </cols>
  <sheetData>
    <row r="2" spans="3:34" x14ac:dyDescent="0.25">
      <c r="C2" s="3" t="s">
        <v>23</v>
      </c>
      <c r="D2" s="6"/>
      <c r="E2" s="4" t="s">
        <v>24</v>
      </c>
      <c r="F2" s="4"/>
      <c r="G2" s="4" t="s">
        <v>13</v>
      </c>
      <c r="H2" s="4"/>
      <c r="I2" s="90" t="s">
        <v>14</v>
      </c>
      <c r="J2" s="4"/>
      <c r="K2" s="142" t="s">
        <v>16</v>
      </c>
      <c r="L2" s="143"/>
      <c r="M2" s="144"/>
      <c r="N2" s="142" t="s">
        <v>19</v>
      </c>
      <c r="O2" s="143"/>
      <c r="P2" s="144"/>
      <c r="Q2" s="5" t="s">
        <v>25</v>
      </c>
      <c r="R2" s="138" t="s">
        <v>26</v>
      </c>
      <c r="S2" s="139"/>
      <c r="T2" s="111"/>
      <c r="U2" s="111"/>
      <c r="W2" s="71"/>
      <c r="X2" s="71" t="s">
        <v>100</v>
      </c>
      <c r="Y2" s="71"/>
      <c r="Z2" s="71"/>
      <c r="AA2" s="71"/>
      <c r="AB2" s="71"/>
      <c r="AC2" s="71"/>
      <c r="AD2" s="71"/>
      <c r="AE2" s="71"/>
      <c r="AF2" s="71"/>
      <c r="AG2" s="71"/>
      <c r="AH2" s="71"/>
    </row>
    <row r="3" spans="3:34" x14ac:dyDescent="0.25">
      <c r="C3" s="136" t="s">
        <v>27</v>
      </c>
      <c r="D3" s="141"/>
      <c r="E3" s="141"/>
      <c r="F3" s="141"/>
      <c r="G3" s="141"/>
      <c r="H3" s="141"/>
      <c r="I3" s="141"/>
      <c r="J3" s="141"/>
      <c r="K3" s="141"/>
      <c r="L3" s="141"/>
      <c r="M3" s="141"/>
      <c r="N3" s="141"/>
      <c r="O3" s="141"/>
      <c r="P3" s="141"/>
      <c r="Q3" s="141"/>
      <c r="R3" s="141"/>
      <c r="S3" s="141"/>
      <c r="T3" s="112"/>
      <c r="U3" s="112"/>
      <c r="W3" s="67" t="s">
        <v>88</v>
      </c>
      <c r="X3" s="67" t="s">
        <v>101</v>
      </c>
      <c r="Y3" s="67" t="s">
        <v>102</v>
      </c>
      <c r="Z3" s="67" t="s">
        <v>103</v>
      </c>
      <c r="AA3" s="67" t="s">
        <v>104</v>
      </c>
      <c r="AB3" s="67" t="s">
        <v>105</v>
      </c>
      <c r="AC3" s="67" t="s">
        <v>106</v>
      </c>
      <c r="AD3" s="67" t="s">
        <v>107</v>
      </c>
      <c r="AE3" s="67" t="s">
        <v>108</v>
      </c>
      <c r="AF3" s="67" t="s">
        <v>109</v>
      </c>
      <c r="AG3" s="67" t="s">
        <v>110</v>
      </c>
      <c r="AH3" s="67" t="s">
        <v>92</v>
      </c>
    </row>
    <row r="4" spans="3:34" x14ac:dyDescent="0.25">
      <c r="C4" s="9" t="s">
        <v>28</v>
      </c>
      <c r="D4" s="10">
        <f>AB34</f>
        <v>0.83799404730735572</v>
      </c>
      <c r="E4" s="11">
        <f>AB34</f>
        <v>0.83799404730735572</v>
      </c>
      <c r="F4" s="14">
        <f>AC34</f>
        <v>19</v>
      </c>
      <c r="G4" s="39" t="str">
        <f>AC34&amp;"s"</f>
        <v>19s</v>
      </c>
      <c r="H4" s="16">
        <f>I4</f>
        <v>4.5999999999999999E-2</v>
      </c>
      <c r="I4" s="89">
        <f>AD34</f>
        <v>4.5999999999999999E-2</v>
      </c>
      <c r="J4" s="81">
        <f>Y47</f>
        <v>0.18671433863324452</v>
      </c>
      <c r="K4" s="79">
        <f>J4</f>
        <v>0.18671433863324452</v>
      </c>
      <c r="L4" s="22">
        <f>Y47</f>
        <v>0.18671433863324452</v>
      </c>
      <c r="M4" s="24">
        <f>Y34</f>
        <v>1816</v>
      </c>
      <c r="N4" s="27">
        <f>AA47</f>
        <v>0.22352941176470606</v>
      </c>
      <c r="O4" s="42">
        <f>AA47</f>
        <v>0.22352941176470606</v>
      </c>
      <c r="P4" s="28" t="str">
        <f>AI34</f>
        <v>6m 56s</v>
      </c>
      <c r="Q4" s="8" t="s">
        <v>29</v>
      </c>
      <c r="R4" s="135" t="s">
        <v>30</v>
      </c>
      <c r="S4" s="135"/>
      <c r="T4" s="109"/>
      <c r="U4" s="109"/>
      <c r="W4" s="68" t="s">
        <v>93</v>
      </c>
      <c r="X4" s="1">
        <v>3.9533450956082143</v>
      </c>
      <c r="Y4" s="1">
        <v>54.365461088461899</v>
      </c>
      <c r="Z4" s="1">
        <v>51.111345276050507</v>
      </c>
      <c r="AA4" s="1">
        <v>102.10043472078696</v>
      </c>
      <c r="AB4" s="1">
        <v>53.21194048814538</v>
      </c>
      <c r="AC4" s="1">
        <v>226.66196739747431</v>
      </c>
      <c r="AD4" s="1">
        <v>121.79202386444173</v>
      </c>
      <c r="AE4" s="1">
        <v>23.90031488458763</v>
      </c>
      <c r="AF4" s="1">
        <v>169.89482386998679</v>
      </c>
      <c r="AG4" s="1">
        <v>130.28179810042269</v>
      </c>
      <c r="AH4" s="1">
        <v>937.27345478596612</v>
      </c>
    </row>
    <row r="5" spans="3:34" x14ac:dyDescent="0.25">
      <c r="C5" s="9" t="s">
        <v>31</v>
      </c>
      <c r="D5" s="10">
        <f t="shared" ref="D5:D8" si="0">AB35</f>
        <v>0.88415373244641537</v>
      </c>
      <c r="E5" s="11">
        <f t="shared" ref="E5:E8" si="1">AB35</f>
        <v>0.88415373244641537</v>
      </c>
      <c r="F5" s="14">
        <f t="shared" ref="F5:F8" si="2">AC35</f>
        <v>10.999999999999998</v>
      </c>
      <c r="G5" s="39" t="str">
        <f>AC35&amp;"s"</f>
        <v>11s</v>
      </c>
      <c r="H5" s="16">
        <f>I5</f>
        <v>3.0000000000000002E-2</v>
      </c>
      <c r="I5" s="89">
        <f t="shared" ref="I5:I8" si="3">AD35</f>
        <v>3.0000000000000002E-2</v>
      </c>
      <c r="J5" s="17">
        <f>Y48</f>
        <v>4.69035257916822E-2</v>
      </c>
      <c r="K5" s="42">
        <f>J5</f>
        <v>4.69035257916822E-2</v>
      </c>
      <c r="L5" s="22">
        <f t="shared" ref="L5:L8" si="4">Y48</f>
        <v>4.69035257916822E-2</v>
      </c>
      <c r="M5" s="24">
        <f t="shared" ref="M5:M8" si="5">Y35</f>
        <v>1233</v>
      </c>
      <c r="N5" s="27">
        <f t="shared" ref="N5:N8" si="6">AA48</f>
        <v>0.23809523809523808</v>
      </c>
      <c r="O5" s="42">
        <f t="shared" ref="O5:O8" si="7">AA48</f>
        <v>0.23809523809523808</v>
      </c>
      <c r="P5" s="28" t="str">
        <f t="shared" ref="P5:P8" si="8">AI35</f>
        <v>8m 40s</v>
      </c>
      <c r="Q5" s="8" t="s">
        <v>32</v>
      </c>
      <c r="R5" s="135" t="s">
        <v>33</v>
      </c>
      <c r="S5" s="135"/>
      <c r="T5" s="109"/>
      <c r="U5" s="109"/>
      <c r="W5" s="68" t="s">
        <v>94</v>
      </c>
      <c r="X5" s="1">
        <v>3.9537504172428508</v>
      </c>
      <c r="Y5" s="1">
        <v>47.893580748072914</v>
      </c>
      <c r="Z5" s="1">
        <v>40.888886547239366</v>
      </c>
      <c r="AA5" s="1">
        <v>86.257257562787458</v>
      </c>
      <c r="AB5" s="1">
        <v>66.515117628419731</v>
      </c>
      <c r="AC5" s="1">
        <v>218.14861349138604</v>
      </c>
      <c r="AD5" s="1">
        <v>109.74223985591711</v>
      </c>
      <c r="AE5" s="1">
        <v>20.22344972048041</v>
      </c>
      <c r="AF5" s="1">
        <v>159.59275352128756</v>
      </c>
      <c r="AG5" s="1">
        <v>141.93820383509939</v>
      </c>
      <c r="AH5" s="1">
        <v>895.15385332793289</v>
      </c>
    </row>
    <row r="6" spans="3:34" x14ac:dyDescent="0.25">
      <c r="C6" s="9" t="s">
        <v>34</v>
      </c>
      <c r="D6" s="10">
        <f t="shared" si="0"/>
        <v>0.89605796005796001</v>
      </c>
      <c r="E6" s="11">
        <f t="shared" si="1"/>
        <v>0.89605796005796001</v>
      </c>
      <c r="F6" s="14">
        <f t="shared" si="2"/>
        <v>14</v>
      </c>
      <c r="G6" s="39" t="str">
        <f t="shared" ref="G6:G8" si="9">AC36&amp;"s"</f>
        <v>14s</v>
      </c>
      <c r="H6" s="16">
        <f>I6</f>
        <v>1.0999999999999999E-2</v>
      </c>
      <c r="I6" s="89">
        <f t="shared" si="3"/>
        <v>1.0999999999999999E-2</v>
      </c>
      <c r="J6" s="17">
        <f>Y49</f>
        <v>0.87346334527275848</v>
      </c>
      <c r="K6" s="42">
        <f>J6</f>
        <v>0.87346334527275848</v>
      </c>
      <c r="L6" s="22">
        <f t="shared" si="4"/>
        <v>0.87346334527275848</v>
      </c>
      <c r="M6" s="24">
        <f t="shared" si="5"/>
        <v>978</v>
      </c>
      <c r="N6" s="27">
        <f t="shared" si="6"/>
        <v>-0.23529411764705893</v>
      </c>
      <c r="O6" s="42">
        <f t="shared" si="7"/>
        <v>-0.23529411764705893</v>
      </c>
      <c r="P6" s="28" t="str">
        <f t="shared" si="8"/>
        <v>6m 30s</v>
      </c>
      <c r="Q6" s="8" t="s">
        <v>29</v>
      </c>
      <c r="R6" s="135" t="s">
        <v>35</v>
      </c>
      <c r="S6" s="135"/>
      <c r="T6" s="109"/>
      <c r="U6" s="109"/>
      <c r="W6" s="68" t="s">
        <v>95</v>
      </c>
      <c r="X6" s="1">
        <v>3.9532640312812841</v>
      </c>
      <c r="Y6" s="1">
        <v>50.482105671156468</v>
      </c>
      <c r="Z6" s="1">
        <v>36.629291651566717</v>
      </c>
      <c r="AA6" s="1">
        <v>84.555577606159503</v>
      </c>
      <c r="AB6" s="1">
        <v>61.963978159650189</v>
      </c>
      <c r="AC6" s="1">
        <v>212.8272830242484</v>
      </c>
      <c r="AD6" s="1">
        <v>108.02027652214647</v>
      </c>
      <c r="AE6" s="1">
        <v>20.590794216461056</v>
      </c>
      <c r="AF6" s="1">
        <v>151.3879987641217</v>
      </c>
      <c r="AG6" s="1">
        <v>140.56618780405731</v>
      </c>
      <c r="AH6" s="1">
        <v>870.97675745084916</v>
      </c>
    </row>
    <row r="7" spans="3:34" s="74" customFormat="1" ht="19.5" customHeight="1" x14ac:dyDescent="0.25">
      <c r="C7" s="72" t="s">
        <v>36</v>
      </c>
      <c r="D7" s="10">
        <f t="shared" si="0"/>
        <v>0.8065033914979548</v>
      </c>
      <c r="E7" s="11">
        <f t="shared" si="1"/>
        <v>0.8065033914979548</v>
      </c>
      <c r="F7" s="14">
        <f t="shared" si="2"/>
        <v>18</v>
      </c>
      <c r="G7" s="39" t="str">
        <f t="shared" si="9"/>
        <v>18s</v>
      </c>
      <c r="H7" s="16">
        <f>I7</f>
        <v>3.4000000000000002E-2</v>
      </c>
      <c r="I7" s="89">
        <f t="shared" si="3"/>
        <v>3.4000000000000002E-2</v>
      </c>
      <c r="J7" s="17">
        <f>Y50</f>
        <v>1.0270552353948312</v>
      </c>
      <c r="K7" s="80">
        <f>J7</f>
        <v>1.0270552353948312</v>
      </c>
      <c r="L7" s="22">
        <f t="shared" si="4"/>
        <v>1.0270552353948312</v>
      </c>
      <c r="M7" s="24">
        <f t="shared" si="5"/>
        <v>180</v>
      </c>
      <c r="N7" s="26">
        <f t="shared" si="6"/>
        <v>0.30937500000000001</v>
      </c>
      <c r="O7" s="42">
        <f t="shared" si="7"/>
        <v>0.30937500000000001</v>
      </c>
      <c r="P7" s="19" t="str">
        <f t="shared" si="8"/>
        <v>6m 59s</v>
      </c>
      <c r="Q7" s="73" t="s">
        <v>32</v>
      </c>
      <c r="R7" s="140" t="s">
        <v>37</v>
      </c>
      <c r="S7" s="140"/>
      <c r="T7" s="110"/>
      <c r="W7" s="68" t="s">
        <v>96</v>
      </c>
      <c r="X7" s="1">
        <v>4.3490200753421302</v>
      </c>
      <c r="Y7" s="1">
        <v>47.893580748072907</v>
      </c>
      <c r="Z7" s="1">
        <v>40.037062404905384</v>
      </c>
      <c r="AA7" s="1">
        <v>80.271928351316518</v>
      </c>
      <c r="AB7" s="1">
        <v>61.613813700911194</v>
      </c>
      <c r="AC7" s="1">
        <v>215.48832491679812</v>
      </c>
      <c r="AD7" s="1">
        <v>101.99572880726407</v>
      </c>
      <c r="AE7" s="1">
        <v>16.914292903875182</v>
      </c>
      <c r="AF7" s="1">
        <v>150.64759524003517</v>
      </c>
      <c r="AG7" s="1">
        <v>138.509946588795</v>
      </c>
      <c r="AH7" s="1">
        <v>857.72129373731559</v>
      </c>
    </row>
    <row r="8" spans="3:34" ht="19.5" customHeight="1" x14ac:dyDescent="0.25">
      <c r="C8" s="9" t="s">
        <v>38</v>
      </c>
      <c r="D8" s="10">
        <f t="shared" si="0"/>
        <v>0.96113074204946991</v>
      </c>
      <c r="E8" s="11">
        <f t="shared" si="1"/>
        <v>0.96113074204946991</v>
      </c>
      <c r="F8" s="14">
        <f t="shared" si="2"/>
        <v>5</v>
      </c>
      <c r="G8" s="39" t="str">
        <f t="shared" si="9"/>
        <v>5s</v>
      </c>
      <c r="H8" s="16">
        <f>I8</f>
        <v>8.0000000000000002E-3</v>
      </c>
      <c r="I8" s="89">
        <f t="shared" si="3"/>
        <v>8.0000000000000002E-3</v>
      </c>
      <c r="J8" s="17">
        <f>Y51</f>
        <v>0.41052350438174701</v>
      </c>
      <c r="K8" s="18">
        <f>J8</f>
        <v>0.41052350438174701</v>
      </c>
      <c r="L8" s="20">
        <f t="shared" si="4"/>
        <v>0.41052350438174701</v>
      </c>
      <c r="M8" s="21">
        <f t="shared" si="5"/>
        <v>283</v>
      </c>
      <c r="N8" s="26">
        <f t="shared" si="6"/>
        <v>4.1025641025641026E-2</v>
      </c>
      <c r="O8" s="42">
        <f t="shared" si="7"/>
        <v>4.1025641025641026E-2</v>
      </c>
      <c r="P8" s="19" t="str">
        <f t="shared" si="8"/>
        <v>6m 46s</v>
      </c>
      <c r="Q8" s="8" t="s">
        <v>32</v>
      </c>
      <c r="R8" s="135" t="s">
        <v>39</v>
      </c>
      <c r="S8" s="135"/>
      <c r="T8" s="109"/>
      <c r="U8" s="109"/>
      <c r="W8" s="68" t="s">
        <v>97</v>
      </c>
      <c r="X8" s="1">
        <v>3.162886843736584</v>
      </c>
      <c r="Y8" s="1">
        <v>54.365271744235166</v>
      </c>
      <c r="Z8" s="1">
        <v>38.333414120237329</v>
      </c>
      <c r="AA8" s="1">
        <v>74.638758397706951</v>
      </c>
      <c r="AB8" s="1">
        <v>51.111568194072873</v>
      </c>
      <c r="AC8" s="1">
        <v>226.12947921514979</v>
      </c>
      <c r="AD8" s="1">
        <v>92.097753423365234</v>
      </c>
      <c r="AE8" s="1">
        <v>18.201235734980045</v>
      </c>
      <c r="AF8" s="1">
        <v>141.3942321264405</v>
      </c>
      <c r="AG8" s="1">
        <v>126.16727814841136</v>
      </c>
      <c r="AH8" s="1">
        <v>825.60187794833575</v>
      </c>
    </row>
    <row r="9" spans="3:34" x14ac:dyDescent="0.25">
      <c r="C9" s="136" t="s">
        <v>40</v>
      </c>
      <c r="D9" s="137"/>
      <c r="E9" s="137"/>
      <c r="F9" s="137"/>
      <c r="G9" s="137"/>
      <c r="H9" s="137"/>
      <c r="I9" s="137"/>
      <c r="J9" s="137"/>
      <c r="K9" s="137"/>
      <c r="L9" s="137"/>
      <c r="M9" s="137"/>
      <c r="N9" s="137"/>
      <c r="O9" s="137"/>
      <c r="P9" s="137"/>
      <c r="Q9" s="137"/>
      <c r="R9" s="137"/>
      <c r="S9" s="137"/>
      <c r="T9" s="112"/>
      <c r="U9" s="112"/>
      <c r="W9" s="68" t="s">
        <v>98</v>
      </c>
      <c r="X9" s="1">
        <v>7.9066901912164269</v>
      </c>
      <c r="Y9" s="1"/>
      <c r="Z9" s="1"/>
      <c r="AA9" s="1">
        <v>5.8681120413980402E-2</v>
      </c>
      <c r="AB9" s="1">
        <v>0.2334941773561155</v>
      </c>
      <c r="AC9" s="1">
        <v>35.205669255748639</v>
      </c>
      <c r="AD9" s="1">
        <v>22.378637551418606</v>
      </c>
      <c r="AE9" s="1">
        <v>3.4930473755083691</v>
      </c>
      <c r="AF9" s="1">
        <v>90.313903743822621</v>
      </c>
      <c r="AG9" s="1">
        <v>82.28275833465166</v>
      </c>
      <c r="AH9" s="1">
        <v>241.8728817501364</v>
      </c>
    </row>
    <row r="10" spans="3:34" x14ac:dyDescent="0.25">
      <c r="C10" s="9" t="s">
        <v>40</v>
      </c>
      <c r="D10" s="10">
        <f>AB39</f>
        <v>0.92167834132454307</v>
      </c>
      <c r="E10" s="12">
        <f>AB39</f>
        <v>0.92167834132454307</v>
      </c>
      <c r="F10" s="14">
        <f>AC39</f>
        <v>14</v>
      </c>
      <c r="G10" s="39" t="str">
        <f>AC39&amp;"s"</f>
        <v>14s</v>
      </c>
      <c r="H10" s="16">
        <f>I10</f>
        <v>4.0000000000000001E-3</v>
      </c>
      <c r="I10" s="89">
        <f>AD39</f>
        <v>4.0000000000000001E-3</v>
      </c>
      <c r="J10" s="17">
        <f>Y52</f>
        <v>0.42687025950702717</v>
      </c>
      <c r="K10" s="75">
        <f>J10</f>
        <v>0.42687025950702717</v>
      </c>
      <c r="L10" s="22">
        <f>Y52</f>
        <v>0.42687025950702717</v>
      </c>
      <c r="M10" s="21">
        <f>Y39</f>
        <v>1137</v>
      </c>
      <c r="N10" s="26">
        <f>AA52</f>
        <v>1.6666666666666666E-2</v>
      </c>
      <c r="O10" s="42">
        <f>AA52</f>
        <v>1.6666666666666666E-2</v>
      </c>
      <c r="P10" s="28" t="str">
        <f>AI39</f>
        <v>7m 07s</v>
      </c>
      <c r="Q10" s="8" t="s">
        <v>29</v>
      </c>
      <c r="R10" s="135" t="s">
        <v>41</v>
      </c>
      <c r="S10" s="135"/>
      <c r="T10" s="109"/>
      <c r="U10" s="109"/>
      <c r="W10" s="68" t="s">
        <v>99</v>
      </c>
      <c r="X10" s="1">
        <v>6.7210433455724425</v>
      </c>
      <c r="Y10" s="1"/>
      <c r="Z10" s="1"/>
      <c r="AA10" s="1">
        <v>0.1173622408279608</v>
      </c>
      <c r="AB10" s="1">
        <v>0.35008765144380782</v>
      </c>
      <c r="AC10" s="1">
        <v>25.53866269919202</v>
      </c>
      <c r="AD10" s="1">
        <v>27.973339975445757</v>
      </c>
      <c r="AE10" s="1">
        <v>3.6768651641072356</v>
      </c>
      <c r="AF10" s="1">
        <v>74.768692734304111</v>
      </c>
      <c r="AG10" s="1">
        <v>69.253827188561189</v>
      </c>
      <c r="AH10" s="1">
        <v>208.39988099945452</v>
      </c>
    </row>
    <row r="11" spans="3:34" ht="22.5" customHeight="1" x14ac:dyDescent="0.25">
      <c r="C11" s="9" t="s">
        <v>42</v>
      </c>
      <c r="D11" s="10">
        <f t="shared" ref="D11:D12" si="10">AB40</f>
        <v>0.85135135135135132</v>
      </c>
      <c r="E11" s="12">
        <f t="shared" ref="E11:E12" si="11">AB40</f>
        <v>0.85135135135135132</v>
      </c>
      <c r="F11" s="14">
        <f t="shared" ref="F11:F12" si="12">AC40</f>
        <v>15</v>
      </c>
      <c r="G11" s="39" t="str">
        <f>AC40&amp;"s"</f>
        <v>15s</v>
      </c>
      <c r="H11" s="16">
        <f>I11</f>
        <v>2.8000000000000001E-2</v>
      </c>
      <c r="I11" s="89">
        <f>AD40</f>
        <v>2.8000000000000001E-2</v>
      </c>
      <c r="J11" s="17">
        <f>Y53</f>
        <v>0.18097672610845439</v>
      </c>
      <c r="K11" s="75">
        <f>J11</f>
        <v>0.18097672610845439</v>
      </c>
      <c r="L11" s="22">
        <f>Y53</f>
        <v>0.18097672610845439</v>
      </c>
      <c r="M11" s="21">
        <f>Y40</f>
        <v>74</v>
      </c>
      <c r="N11" s="26">
        <f>AA53</f>
        <v>0.58499999999999996</v>
      </c>
      <c r="O11" s="42">
        <f>AA53</f>
        <v>0.58499999999999996</v>
      </c>
      <c r="P11" s="28" t="str">
        <f>AI40</f>
        <v>15m 51s</v>
      </c>
      <c r="Q11" s="8" t="s">
        <v>29</v>
      </c>
      <c r="R11" s="135" t="s">
        <v>43</v>
      </c>
      <c r="S11" s="135"/>
      <c r="T11" s="109"/>
      <c r="U11" s="109"/>
      <c r="W11" s="69"/>
      <c r="X11" s="70">
        <v>33.999999999999929</v>
      </c>
      <c r="Y11" s="70">
        <v>254.99999999999935</v>
      </c>
      <c r="Z11" s="70">
        <v>206.99999999999932</v>
      </c>
      <c r="AA11" s="70">
        <v>427.99999999999937</v>
      </c>
      <c r="AB11" s="70">
        <v>294.99999999999926</v>
      </c>
      <c r="AC11" s="70">
        <v>1159.9999999999973</v>
      </c>
      <c r="AD11" s="70">
        <v>583.99999999999898</v>
      </c>
      <c r="AE11" s="70">
        <v>106.99999999999993</v>
      </c>
      <c r="AF11" s="70">
        <v>937.99999999999852</v>
      </c>
      <c r="AG11" s="70">
        <v>828.99999999999864</v>
      </c>
      <c r="AH11" s="70">
        <v>4836.99999999999</v>
      </c>
    </row>
    <row r="12" spans="3:34" ht="23.25" customHeight="1" x14ac:dyDescent="0.25">
      <c r="C12" s="9" t="s">
        <v>44</v>
      </c>
      <c r="D12" s="10">
        <f t="shared" si="10"/>
        <v>0.86111111111111116</v>
      </c>
      <c r="E12" s="12">
        <f t="shared" si="11"/>
        <v>0.86111111111111116</v>
      </c>
      <c r="F12" s="14">
        <f t="shared" si="12"/>
        <v>21</v>
      </c>
      <c r="G12" s="39" t="str">
        <f>AC41&amp;"s"</f>
        <v>21s</v>
      </c>
      <c r="H12" s="16">
        <f>I12</f>
        <v>1.3999999999999999E-2</v>
      </c>
      <c r="I12" s="89">
        <f>AD41</f>
        <v>1.3999999999999999E-2</v>
      </c>
      <c r="J12" s="17">
        <f>Y54</f>
        <v>0.356628646323494</v>
      </c>
      <c r="K12" s="23">
        <f>J12</f>
        <v>0.356628646323494</v>
      </c>
      <c r="L12" s="20">
        <f>Y54</f>
        <v>0.356628646323494</v>
      </c>
      <c r="M12" s="21">
        <f>Y41</f>
        <v>72</v>
      </c>
      <c r="N12" s="26">
        <f>AA54</f>
        <v>-2.696629213483159E-2</v>
      </c>
      <c r="O12" s="42">
        <f>AA54</f>
        <v>-2.696629213483159E-2</v>
      </c>
      <c r="P12" s="19" t="str">
        <f>AI41</f>
        <v>7m 13s</v>
      </c>
      <c r="Q12" s="8" t="s">
        <v>45</v>
      </c>
      <c r="R12" s="135" t="s">
        <v>46</v>
      </c>
      <c r="S12" s="135"/>
      <c r="T12" s="109"/>
      <c r="U12" s="109"/>
    </row>
    <row r="13" spans="3:34" x14ac:dyDescent="0.25">
      <c r="W13" s="67" t="s">
        <v>88</v>
      </c>
      <c r="X13" s="67" t="s">
        <v>111</v>
      </c>
      <c r="Y13" s="67" t="s">
        <v>112</v>
      </c>
      <c r="Z13" s="67" t="s">
        <v>113</v>
      </c>
      <c r="AA13" s="67" t="s">
        <v>114</v>
      </c>
      <c r="AB13" s="67" t="s">
        <v>115</v>
      </c>
      <c r="AC13" s="67" t="s">
        <v>116</v>
      </c>
      <c r="AD13" s="67" t="s">
        <v>92</v>
      </c>
    </row>
    <row r="14" spans="3:34" x14ac:dyDescent="0.25">
      <c r="C14" s="43"/>
      <c r="W14" s="68" t="s">
        <v>93</v>
      </c>
      <c r="X14" s="1">
        <v>136.51263537200632</v>
      </c>
      <c r="Y14" s="1">
        <v>50.570380758034375</v>
      </c>
      <c r="Z14" s="1">
        <v>228.39375689238949</v>
      </c>
      <c r="AA14" s="1">
        <v>46.811316734643995</v>
      </c>
      <c r="AB14" s="1">
        <v>24.50605916283001</v>
      </c>
      <c r="AC14" s="1">
        <v>50.368063876443927</v>
      </c>
      <c r="AD14" s="1">
        <v>537.16221279634806</v>
      </c>
    </row>
    <row r="15" spans="3:34" x14ac:dyDescent="0.25">
      <c r="C15" s="43"/>
      <c r="D15" s="1"/>
      <c r="W15" s="68" t="s">
        <v>94</v>
      </c>
      <c r="X15" s="1">
        <v>156.88914835325841</v>
      </c>
      <c r="Y15" s="1">
        <v>39.507093879051048</v>
      </c>
      <c r="Z15" s="1">
        <v>166.52873415612314</v>
      </c>
      <c r="AA15" s="1">
        <v>43.854763499117126</v>
      </c>
      <c r="AB15" s="1">
        <v>24.506059162830027</v>
      </c>
      <c r="AC15" s="1">
        <v>57.774477751314031</v>
      </c>
      <c r="AD15" s="1">
        <v>489.0602768016937</v>
      </c>
    </row>
    <row r="16" spans="3:34" x14ac:dyDescent="0.25">
      <c r="C16" s="43"/>
      <c r="W16" s="68" t="s">
        <v>95</v>
      </c>
      <c r="X16" s="1">
        <v>179.30101927157995</v>
      </c>
      <c r="Y16" s="1">
        <v>42.668327546688033</v>
      </c>
      <c r="Z16" s="1">
        <v>157.96868338303173</v>
      </c>
      <c r="AA16" s="1">
        <v>38.927381749558521</v>
      </c>
      <c r="AB16" s="1">
        <v>32.677867739147203</v>
      </c>
      <c r="AC16" s="1">
        <v>60.738682600803628</v>
      </c>
      <c r="AD16" s="1">
        <v>512.28196229080913</v>
      </c>
    </row>
    <row r="17" spans="3:34" x14ac:dyDescent="0.25">
      <c r="C17" s="43"/>
      <c r="W17" s="68" t="s">
        <v>96</v>
      </c>
      <c r="X17" s="1">
        <v>167.07390109782705</v>
      </c>
      <c r="Y17" s="1">
        <v>42.668010328919991</v>
      </c>
      <c r="Z17" s="1">
        <v>153.68919158121321</v>
      </c>
      <c r="AA17" s="1">
        <v>37.44977780483336</v>
      </c>
      <c r="AB17" s="1">
        <v>46.293732691255997</v>
      </c>
      <c r="AC17" s="1">
        <v>59.256580176058797</v>
      </c>
      <c r="AD17" s="1">
        <v>506.43119368010838</v>
      </c>
    </row>
    <row r="18" spans="3:34" x14ac:dyDescent="0.25">
      <c r="C18" s="82"/>
      <c r="W18" s="68" t="s">
        <v>97</v>
      </c>
      <c r="X18" s="1">
        <v>132.43809722944135</v>
      </c>
      <c r="Y18" s="1">
        <v>38.190640141587402</v>
      </c>
      <c r="Z18" s="1">
        <v>143.57242515252273</v>
      </c>
      <c r="AA18" s="1">
        <v>41.88383149692563</v>
      </c>
      <c r="AB18" s="1">
        <v>49.016281243936312</v>
      </c>
      <c r="AC18" s="1">
        <v>50.368649340565888</v>
      </c>
      <c r="AD18" s="1">
        <v>455.46992460497927</v>
      </c>
    </row>
    <row r="19" spans="3:34" x14ac:dyDescent="0.25">
      <c r="C19" s="43"/>
      <c r="W19" s="68" t="s">
        <v>98</v>
      </c>
      <c r="X19" s="1">
        <v>107.98672758325512</v>
      </c>
      <c r="Y19" s="1">
        <v>15.802044507200252</v>
      </c>
      <c r="Z19" s="1">
        <v>8.170960789979576</v>
      </c>
      <c r="AA19" s="1">
        <v>14.290369513605599</v>
      </c>
      <c r="AB19" s="1"/>
      <c r="AC19" s="1">
        <v>0.49354625481329201</v>
      </c>
      <c r="AD19" s="1">
        <v>146.74364864885385</v>
      </c>
    </row>
    <row r="20" spans="3:34" x14ac:dyDescent="0.25">
      <c r="W20" s="68" t="s">
        <v>99</v>
      </c>
      <c r="X20" s="1">
        <v>97.798471092629129</v>
      </c>
      <c r="Y20" s="1">
        <v>16.593502838518734</v>
      </c>
      <c r="Z20" s="1">
        <v>18.676248044739481</v>
      </c>
      <c r="AA20" s="1">
        <v>14.782559201314843</v>
      </c>
      <c r="AB20" s="1"/>
      <c r="AC20" s="1"/>
      <c r="AD20" s="1">
        <v>147.85078117720221</v>
      </c>
    </row>
    <row r="21" spans="3:34" x14ac:dyDescent="0.25">
      <c r="C21" s="43"/>
      <c r="S21" s="13"/>
      <c r="T21" s="13"/>
      <c r="U21" s="13"/>
      <c r="W21" s="69"/>
      <c r="X21" s="70">
        <v>977.99999999999727</v>
      </c>
      <c r="Y21" s="70">
        <v>245.99999999999986</v>
      </c>
      <c r="Z21" s="70">
        <v>876.99999999999932</v>
      </c>
      <c r="AA21" s="70">
        <v>237.99999999999909</v>
      </c>
      <c r="AB21" s="70">
        <v>176.99999999999955</v>
      </c>
      <c r="AC21" s="70">
        <v>278.99999999999955</v>
      </c>
      <c r="AD21" s="70">
        <v>2794.9999999999945</v>
      </c>
    </row>
    <row r="22" spans="3:34" x14ac:dyDescent="0.25">
      <c r="C22" s="43"/>
    </row>
    <row r="23" spans="3:34" x14ac:dyDescent="0.25">
      <c r="C23" s="43"/>
      <c r="W23" s="67" t="s">
        <v>88</v>
      </c>
      <c r="X23" s="67" t="s">
        <v>89</v>
      </c>
      <c r="Y23" s="67" t="s">
        <v>90</v>
      </c>
      <c r="Z23" s="67" t="s">
        <v>91</v>
      </c>
      <c r="AA23" s="67" t="s">
        <v>92</v>
      </c>
      <c r="AB23" s="67"/>
      <c r="AC23" s="67"/>
      <c r="AD23" s="67"/>
      <c r="AE23" s="67"/>
      <c r="AF23" s="67"/>
      <c r="AG23" s="67"/>
      <c r="AH23" s="67"/>
    </row>
    <row r="24" spans="3:34" x14ac:dyDescent="0.25">
      <c r="W24" s="68" t="s">
        <v>93</v>
      </c>
      <c r="X24" s="1">
        <v>14.788204995249856</v>
      </c>
      <c r="Y24" s="1">
        <v>18.318090440117938</v>
      </c>
      <c r="Z24" s="1">
        <v>240.21313556545815</v>
      </c>
      <c r="AA24" s="1">
        <v>273.31943100082594</v>
      </c>
      <c r="AB24" s="1"/>
      <c r="AC24" s="1"/>
      <c r="AD24" s="1"/>
      <c r="AE24" s="1"/>
      <c r="AF24" s="1"/>
      <c r="AG24" s="1"/>
      <c r="AH24" s="1"/>
    </row>
    <row r="25" spans="3:34" x14ac:dyDescent="0.25">
      <c r="W25" s="68" t="s">
        <v>94</v>
      </c>
      <c r="X25" s="1">
        <v>12.323323313341675</v>
      </c>
      <c r="Y25" s="1">
        <v>16.428359859473371</v>
      </c>
      <c r="Z25" s="1">
        <v>193.94057373861986</v>
      </c>
      <c r="AA25" s="1">
        <v>222.6922569114349</v>
      </c>
      <c r="AB25" s="1"/>
      <c r="AC25" s="1"/>
      <c r="AD25" s="1"/>
      <c r="AE25" s="1"/>
      <c r="AF25" s="1"/>
      <c r="AG25" s="1"/>
      <c r="AH25" s="1"/>
    </row>
    <row r="26" spans="3:34" x14ac:dyDescent="0.25">
      <c r="W26" s="68" t="s">
        <v>95</v>
      </c>
      <c r="X26" s="1">
        <v>10.679973674859122</v>
      </c>
      <c r="Y26" s="1">
        <v>13.95677414826174</v>
      </c>
      <c r="Z26" s="1">
        <v>166.61646105199861</v>
      </c>
      <c r="AA26" s="1">
        <v>191.25320887511947</v>
      </c>
      <c r="AB26" s="1"/>
      <c r="AC26" s="1"/>
      <c r="AD26" s="1"/>
      <c r="AE26" s="1"/>
      <c r="AF26" s="1"/>
      <c r="AG26" s="1"/>
      <c r="AH26" s="1"/>
    </row>
    <row r="27" spans="3:34" x14ac:dyDescent="0.25">
      <c r="W27" s="68" t="s">
        <v>96</v>
      </c>
      <c r="X27" s="1">
        <v>11.501848380242356</v>
      </c>
      <c r="Y27" s="1">
        <v>13.956774148261751</v>
      </c>
      <c r="Z27" s="1">
        <v>167.86425732968382</v>
      </c>
      <c r="AA27" s="1">
        <v>193.32287985818795</v>
      </c>
      <c r="AB27" s="1"/>
      <c r="AC27" s="1"/>
      <c r="AD27" s="1"/>
      <c r="AE27" s="1"/>
      <c r="AF27" s="1"/>
      <c r="AG27" s="1"/>
      <c r="AH27" s="1"/>
    </row>
    <row r="28" spans="3:34" x14ac:dyDescent="0.25">
      <c r="W28" s="68" t="s">
        <v>97</v>
      </c>
      <c r="X28" s="1">
        <v>9.9272595745915115</v>
      </c>
      <c r="Y28" s="1">
        <v>11.340001403885056</v>
      </c>
      <c r="Z28" s="1">
        <v>167.15109770889245</v>
      </c>
      <c r="AA28" s="1">
        <v>188.41835868736902</v>
      </c>
      <c r="AB28" s="1"/>
      <c r="AC28" s="1"/>
      <c r="AD28" s="1"/>
      <c r="AE28" s="1"/>
      <c r="AF28" s="1"/>
      <c r="AG28" s="1"/>
      <c r="AH28" s="1"/>
    </row>
    <row r="29" spans="3:34" x14ac:dyDescent="0.25">
      <c r="W29" s="68" t="s">
        <v>98</v>
      </c>
      <c r="X29" s="1">
        <v>2.1360975335591146</v>
      </c>
      <c r="Y29" s="1"/>
      <c r="Z29" s="1">
        <v>13.186305851183613</v>
      </c>
      <c r="AA29" s="1">
        <v>15.322403384742728</v>
      </c>
      <c r="AB29" s="1"/>
      <c r="AC29" s="1"/>
      <c r="AD29" s="1"/>
      <c r="AE29" s="1"/>
      <c r="AF29" s="1"/>
      <c r="AG29" s="1"/>
      <c r="AH29" s="1"/>
    </row>
    <row r="30" spans="3:34" x14ac:dyDescent="0.25">
      <c r="W30" s="68" t="s">
        <v>99</v>
      </c>
      <c r="X30" s="1">
        <v>1.6432925281562949</v>
      </c>
      <c r="Y30" s="1"/>
      <c r="Z30" s="1">
        <v>15.028168754161804</v>
      </c>
      <c r="AA30" s="1">
        <v>16.671461282318099</v>
      </c>
      <c r="AB30" s="1"/>
      <c r="AC30" s="1"/>
      <c r="AD30" s="1"/>
      <c r="AE30" s="1"/>
      <c r="AF30" s="1"/>
      <c r="AG30" s="1"/>
      <c r="AH30" s="1"/>
    </row>
    <row r="31" spans="3:34" x14ac:dyDescent="0.25">
      <c r="W31" s="69"/>
      <c r="X31" s="70">
        <v>62.999999999999929</v>
      </c>
      <c r="Y31" s="70">
        <v>73.999999999999858</v>
      </c>
      <c r="Z31" s="70">
        <v>963.99999999999841</v>
      </c>
      <c r="AA31" s="70">
        <v>1100.9999999999982</v>
      </c>
      <c r="AB31" s="70"/>
      <c r="AC31" s="70"/>
      <c r="AD31" s="70"/>
      <c r="AE31" s="70"/>
      <c r="AF31" s="70"/>
      <c r="AG31" s="70"/>
      <c r="AH31" s="70"/>
    </row>
    <row r="33" spans="23:35" x14ac:dyDescent="0.25">
      <c r="W33" s="7" t="s">
        <v>117</v>
      </c>
      <c r="X33" s="83" t="s">
        <v>3</v>
      </c>
      <c r="Y33" s="83" t="s">
        <v>2</v>
      </c>
      <c r="Z33" s="83" t="s">
        <v>139</v>
      </c>
      <c r="AA33" s="83" t="s">
        <v>140</v>
      </c>
      <c r="AB33" s="83" t="s">
        <v>0</v>
      </c>
      <c r="AC33" s="83" t="s">
        <v>13</v>
      </c>
      <c r="AD33" s="83" t="s">
        <v>119</v>
      </c>
      <c r="AE33" s="83" t="s">
        <v>120</v>
      </c>
      <c r="AF33" s="83" t="s">
        <v>121</v>
      </c>
      <c r="AG33" s="83" t="s">
        <v>122</v>
      </c>
      <c r="AH33" s="83" t="s">
        <v>123</v>
      </c>
    </row>
    <row r="34" spans="23:35" x14ac:dyDescent="0.25">
      <c r="W34" s="7" t="s">
        <v>28</v>
      </c>
      <c r="X34" s="84">
        <f>SUM(X4:X7,X9:X10,AF4:AF7,AF9:AF10,AG4:AG7,AG9:AG10)</f>
        <v>1530.2756028814083</v>
      </c>
      <c r="Y34" s="85">
        <f>AE34</f>
        <v>1816</v>
      </c>
      <c r="Z34" s="83">
        <f>SUM(Sheet2!K49,Sheet2!L49,Sheet2!Q49)/3</f>
        <v>340</v>
      </c>
      <c r="AA34" s="83">
        <f>AG34</f>
        <v>416.00000000000006</v>
      </c>
      <c r="AB34" s="86">
        <f>'Power BI'!C2</f>
        <v>0.83799404730735572</v>
      </c>
      <c r="AC34" s="83">
        <f>TIMEVALUE('Power BI'!D2)*86400</f>
        <v>19</v>
      </c>
      <c r="AD34" s="86">
        <f>'Power BI'!E2</f>
        <v>4.5999999999999999E-2</v>
      </c>
      <c r="AE34" s="83">
        <f>'Power BI'!F2</f>
        <v>1816</v>
      </c>
      <c r="AF34" s="84">
        <f>'Power BI'!G2</f>
        <v>1725</v>
      </c>
      <c r="AG34" s="83">
        <f>TIMEVALUE('Power BI'!H2) * 86400</f>
        <v>416.00000000000006</v>
      </c>
      <c r="AH34" s="83">
        <f>TIMEVALUE('Power BI'!I2)*86400</f>
        <v>26.000000000000004</v>
      </c>
      <c r="AI34" t="str">
        <f t="shared" ref="AI34:AI41" si="13">INT(AG34/60) &amp; "m" &amp; IF(MOD(AG34,60)=0,""," " &amp; TEXT(MOD(AG34,60),"00") &amp; "s")</f>
        <v>6m 56s</v>
      </c>
    </row>
    <row r="35" spans="23:35" x14ac:dyDescent="0.25">
      <c r="W35" s="7" t="s">
        <v>31</v>
      </c>
      <c r="X35" s="84">
        <f>SUM(AB4:AB7,AB9:AB10,AC4:AC7,AC9:AC10)</f>
        <v>1177.758952590774</v>
      </c>
      <c r="Y35" s="85">
        <f t="shared" ref="Y35:Y41" si="14">AE35</f>
        <v>1233</v>
      </c>
      <c r="Z35" s="83">
        <f>SUM(Sheet2!M49,Sheet2!N49)/2</f>
        <v>420</v>
      </c>
      <c r="AA35" s="83">
        <f t="shared" ref="AA35:AA41" si="15">AG35</f>
        <v>520</v>
      </c>
      <c r="AB35" s="86">
        <f>'Power BI'!C6</f>
        <v>0.88415373244641537</v>
      </c>
      <c r="AC35" s="83">
        <f>TIMEVALUE('Power BI'!D6)*86400</f>
        <v>10.999999999999998</v>
      </c>
      <c r="AD35" s="86">
        <f>'Power BI'!E6</f>
        <v>3.0000000000000002E-2</v>
      </c>
      <c r="AE35" s="83">
        <f>'Power BI'!F6</f>
        <v>1233</v>
      </c>
      <c r="AF35" s="83">
        <f>'Power BI'!G6</f>
        <v>1194</v>
      </c>
      <c r="AG35" s="83">
        <f>TIMEVALUE('Power BI'!H6)*86400</f>
        <v>520</v>
      </c>
      <c r="AH35" s="83">
        <f>TIMEVALUE('Power BI'!I6)*86400</f>
        <v>17</v>
      </c>
      <c r="AI35" t="str">
        <f t="shared" si="13"/>
        <v>8m 40s</v>
      </c>
    </row>
    <row r="36" spans="23:35" x14ac:dyDescent="0.25">
      <c r="W36" s="7" t="s">
        <v>34</v>
      </c>
      <c r="X36" s="84">
        <f>SUM(AA4:AA7,AA9:AA10,Z4:Z7,Z9:Z10)</f>
        <v>522.02782748205436</v>
      </c>
      <c r="Y36" s="85">
        <f t="shared" si="14"/>
        <v>978</v>
      </c>
      <c r="Z36" s="83">
        <f>SUM(Sheet2!O49,Sheet2!P49)/2</f>
        <v>510</v>
      </c>
      <c r="AA36" s="83">
        <f t="shared" si="15"/>
        <v>389.99999999999994</v>
      </c>
      <c r="AB36" s="86">
        <f>'Power BI'!C9</f>
        <v>0.89605796005796001</v>
      </c>
      <c r="AC36" s="83">
        <f>TIMEVALUE('Power BI'!D9)*86400</f>
        <v>14</v>
      </c>
      <c r="AD36" s="86">
        <f>'Power BI'!E9</f>
        <v>1.0999999999999999E-2</v>
      </c>
      <c r="AE36" s="83">
        <f>'Power BI'!F9</f>
        <v>978</v>
      </c>
      <c r="AF36" s="83">
        <f>'Power BI'!G9</f>
        <v>965</v>
      </c>
      <c r="AG36" s="83">
        <f>TIMEVALUE('Power BI'!H9)*86400</f>
        <v>389.99999999999994</v>
      </c>
      <c r="AH36" s="83">
        <f>TIMEVALUE('Power BI'!I9)*86400</f>
        <v>15</v>
      </c>
      <c r="AI36" t="str">
        <f t="shared" si="13"/>
        <v>6m 30s</v>
      </c>
    </row>
    <row r="37" spans="23:35" x14ac:dyDescent="0.25">
      <c r="W37" s="87" t="s">
        <v>36</v>
      </c>
      <c r="X37" s="84">
        <f>SUM(AE4:AE7,AE9:AE10)</f>
        <v>88.798764265019884</v>
      </c>
      <c r="Y37" s="85">
        <f t="shared" si="14"/>
        <v>180</v>
      </c>
      <c r="Z37" s="83">
        <f>SUM(Sheet2!D49)</f>
        <v>320</v>
      </c>
      <c r="AA37" s="83">
        <f t="shared" si="15"/>
        <v>419</v>
      </c>
      <c r="AB37" s="86">
        <f>'Power BI'!C12</f>
        <v>0.8065033914979548</v>
      </c>
      <c r="AC37" s="83">
        <f>TIMEVALUE('Power BI'!D12)*86400</f>
        <v>18</v>
      </c>
      <c r="AD37" s="86">
        <f>'Power BI'!E12</f>
        <v>3.4000000000000002E-2</v>
      </c>
      <c r="AE37" s="83">
        <f>'Power BI'!F12</f>
        <v>180</v>
      </c>
      <c r="AF37" s="83">
        <f>'Power BI'!G12</f>
        <v>172</v>
      </c>
      <c r="AG37" s="83">
        <f>TIMEVALUE('Power BI'!H12)*86400</f>
        <v>419</v>
      </c>
      <c r="AH37" s="83">
        <f>TIMEVALUE('Power BI'!I12)*86400</f>
        <v>19</v>
      </c>
      <c r="AI37" t="str">
        <f t="shared" si="13"/>
        <v>6m 59s</v>
      </c>
    </row>
    <row r="38" spans="23:35" x14ac:dyDescent="0.25">
      <c r="W38" s="7" t="s">
        <v>38</v>
      </c>
      <c r="X38" s="84">
        <f>SUM(Y4:Y7,Y9:Y10)</f>
        <v>200.63472825576417</v>
      </c>
      <c r="Y38" s="85">
        <f t="shared" si="14"/>
        <v>283</v>
      </c>
      <c r="Z38" s="83">
        <f>SUM(Sheet2!J49)</f>
        <v>390</v>
      </c>
      <c r="AA38" s="83">
        <f t="shared" si="15"/>
        <v>406</v>
      </c>
      <c r="AB38" s="86">
        <f>'Power BI'!C14</f>
        <v>0.96113074204946991</v>
      </c>
      <c r="AC38" s="83">
        <f>TIMEVALUE('Power BI'!D14)*86400</f>
        <v>5</v>
      </c>
      <c r="AD38" s="86">
        <f>'Power BI'!E14</f>
        <v>8.0000000000000002E-3</v>
      </c>
      <c r="AE38" s="83">
        <f>'Power BI'!F14</f>
        <v>283</v>
      </c>
      <c r="AF38" s="83">
        <f>'Power BI'!G14</f>
        <v>281</v>
      </c>
      <c r="AG38" s="83">
        <f>TIMEVALUE('Power BI'!H14)*86400</f>
        <v>406</v>
      </c>
      <c r="AH38" s="83">
        <f>TIMEVALUE('Power BI'!I14)*86400</f>
        <v>6</v>
      </c>
      <c r="AI38" t="str">
        <f t="shared" si="13"/>
        <v>6m 46s</v>
      </c>
    </row>
    <row r="39" spans="23:35" x14ac:dyDescent="0.25">
      <c r="W39" s="7" t="s">
        <v>40</v>
      </c>
      <c r="X39" s="84">
        <f>SUM(Z24:Z27,Z29:Z30)</f>
        <v>796.8489022911059</v>
      </c>
      <c r="Y39" s="85">
        <f t="shared" si="14"/>
        <v>1137</v>
      </c>
      <c r="Z39" s="83">
        <f>SUM(Sheet2!B49)</f>
        <v>420</v>
      </c>
      <c r="AA39" s="83">
        <f t="shared" si="15"/>
        <v>427</v>
      </c>
      <c r="AB39" s="86">
        <f>'Power BI'!C16</f>
        <v>0.92167834132454307</v>
      </c>
      <c r="AC39" s="83">
        <f>TIMEVALUE('Power BI'!D16)*86400</f>
        <v>14</v>
      </c>
      <c r="AD39" s="86">
        <f>'Power BI'!E16</f>
        <v>4.0000000000000001E-3</v>
      </c>
      <c r="AE39" s="83">
        <f>'Power BI'!F16</f>
        <v>1137</v>
      </c>
      <c r="AF39" s="83">
        <f>'Power BI'!G16</f>
        <v>1132</v>
      </c>
      <c r="AG39" s="83">
        <f>TIMEVALUE('Power BI'!H16)*86400</f>
        <v>427</v>
      </c>
      <c r="AH39" s="83">
        <f>TIMEVALUE('Power BI'!I16)*86400</f>
        <v>14</v>
      </c>
      <c r="AI39" t="str">
        <f>INT(AG39/60) &amp; "m" &amp; IF(MOD(AG39,60)=0,""," " &amp; TEXT(MOD(AG39,60),"00") &amp; "s")</f>
        <v>7m 07s</v>
      </c>
    </row>
    <row r="40" spans="23:35" x14ac:dyDescent="0.25">
      <c r="W40" s="7" t="s">
        <v>42</v>
      </c>
      <c r="X40" s="84">
        <f>SUM(Y24:Y27,Y29:Y30)</f>
        <v>62.659998596114796</v>
      </c>
      <c r="Y40" s="85">
        <f t="shared" si="14"/>
        <v>74</v>
      </c>
      <c r="Z40" s="83">
        <f>SUM(Sheet2!C49)</f>
        <v>600</v>
      </c>
      <c r="AA40" s="83">
        <f t="shared" si="15"/>
        <v>951</v>
      </c>
      <c r="AB40" s="86">
        <f>'Power BI'!C18</f>
        <v>0.85135135135135132</v>
      </c>
      <c r="AC40" s="83">
        <f>TIMEVALUE('Power BI'!D18)*86400</f>
        <v>15</v>
      </c>
      <c r="AD40" s="86">
        <f>'Power BI'!E18</f>
        <v>2.8000000000000001E-2</v>
      </c>
      <c r="AE40" s="83">
        <f>'Power BI'!F18</f>
        <v>74</v>
      </c>
      <c r="AF40" s="83">
        <f>'Power BI'!G18</f>
        <v>72</v>
      </c>
      <c r="AG40" s="83">
        <f>TIMEVALUE('Power BI'!H18)*86400</f>
        <v>951</v>
      </c>
      <c r="AH40" s="83">
        <f>TIMEVALUE('Power BI'!I18)*86400</f>
        <v>20</v>
      </c>
      <c r="AI40" t="str">
        <f t="shared" si="13"/>
        <v>15m 51s</v>
      </c>
    </row>
    <row r="41" spans="23:35" x14ac:dyDescent="0.25">
      <c r="W41" s="7" t="s">
        <v>44</v>
      </c>
      <c r="X41" s="84">
        <f>SUM(X24:X27,X29:X30)</f>
        <v>53.072740425408419</v>
      </c>
      <c r="Y41" s="85">
        <f t="shared" si="14"/>
        <v>72</v>
      </c>
      <c r="Z41" s="83">
        <f>SUM(Sheet2!E49:H49)/4</f>
        <v>445</v>
      </c>
      <c r="AA41" s="83">
        <f t="shared" si="15"/>
        <v>432.99999999999994</v>
      </c>
      <c r="AB41" s="86">
        <f>'Power BI'!C20</f>
        <v>0.86111111111111116</v>
      </c>
      <c r="AC41" s="83">
        <f>TIMEVALUE('Power BI'!D20)*86400</f>
        <v>21</v>
      </c>
      <c r="AD41" s="86">
        <f>'Power BI'!E20</f>
        <v>1.3999999999999999E-2</v>
      </c>
      <c r="AE41" s="83">
        <f>'Power BI'!F20</f>
        <v>72</v>
      </c>
      <c r="AF41" s="83">
        <f>'Power BI'!G20</f>
        <v>71</v>
      </c>
      <c r="AG41" s="83">
        <f>TIMEVALUE('Power BI'!H20)*86400</f>
        <v>432.99999999999994</v>
      </c>
      <c r="AH41" s="83">
        <f>TIMEVALUE('Power BI'!I20)*86400</f>
        <v>24</v>
      </c>
      <c r="AI41" t="str">
        <f t="shared" si="13"/>
        <v>7m 13s</v>
      </c>
    </row>
    <row r="43" spans="23:35" x14ac:dyDescent="0.25">
      <c r="W43" s="43"/>
    </row>
    <row r="46" spans="23:35" x14ac:dyDescent="0.25">
      <c r="W46" s="83" t="s">
        <v>150</v>
      </c>
      <c r="X46" s="83"/>
      <c r="Y46" s="83" t="s">
        <v>118</v>
      </c>
      <c r="Z46" s="83"/>
      <c r="AA46" s="83"/>
    </row>
    <row r="47" spans="23:35" x14ac:dyDescent="0.25">
      <c r="W47" s="7" t="s">
        <v>28</v>
      </c>
      <c r="X47" s="83"/>
      <c r="Y47" s="86">
        <f t="shared" ref="Y47:Y54" si="16">(Y34-X34)/X34</f>
        <v>0.18671433863324452</v>
      </c>
      <c r="Z47" s="83"/>
      <c r="AA47" s="86">
        <f t="shared" ref="AA47:AA54" si="17">(AA34-Z34)/Z34</f>
        <v>0.22352941176470606</v>
      </c>
    </row>
    <row r="48" spans="23:35" x14ac:dyDescent="0.25">
      <c r="W48" s="7" t="s">
        <v>31</v>
      </c>
      <c r="X48" s="83"/>
      <c r="Y48" s="86">
        <f t="shared" si="16"/>
        <v>4.69035257916822E-2</v>
      </c>
      <c r="Z48" s="83"/>
      <c r="AA48" s="86">
        <f t="shared" si="17"/>
        <v>0.23809523809523808</v>
      </c>
    </row>
    <row r="49" spans="23:33" x14ac:dyDescent="0.25">
      <c r="W49" s="7" t="s">
        <v>34</v>
      </c>
      <c r="X49" s="83"/>
      <c r="Y49" s="86">
        <f t="shared" si="16"/>
        <v>0.87346334527275848</v>
      </c>
      <c r="Z49" s="83"/>
      <c r="AA49" s="86">
        <f t="shared" si="17"/>
        <v>-0.23529411764705893</v>
      </c>
    </row>
    <row r="50" spans="23:33" x14ac:dyDescent="0.25">
      <c r="W50" s="87" t="s">
        <v>36</v>
      </c>
      <c r="X50" s="83"/>
      <c r="Y50" s="86">
        <f t="shared" si="16"/>
        <v>1.0270552353948312</v>
      </c>
      <c r="Z50" s="83"/>
      <c r="AA50" s="86">
        <f t="shared" si="17"/>
        <v>0.30937500000000001</v>
      </c>
    </row>
    <row r="51" spans="23:33" x14ac:dyDescent="0.25">
      <c r="W51" s="7" t="s">
        <v>38</v>
      </c>
      <c r="X51" s="83"/>
      <c r="Y51" s="86">
        <f t="shared" si="16"/>
        <v>0.41052350438174701</v>
      </c>
      <c r="Z51" s="83"/>
      <c r="AA51" s="86">
        <f t="shared" si="17"/>
        <v>4.1025641025641026E-2</v>
      </c>
    </row>
    <row r="52" spans="23:33" x14ac:dyDescent="0.25">
      <c r="W52" s="7" t="s">
        <v>40</v>
      </c>
      <c r="X52" s="83"/>
      <c r="Y52" s="86">
        <f t="shared" si="16"/>
        <v>0.42687025950702717</v>
      </c>
      <c r="Z52" s="83"/>
      <c r="AA52" s="86">
        <f t="shared" si="17"/>
        <v>1.6666666666666666E-2</v>
      </c>
    </row>
    <row r="53" spans="23:33" x14ac:dyDescent="0.25">
      <c r="W53" s="7" t="s">
        <v>42</v>
      </c>
      <c r="X53" s="83"/>
      <c r="Y53" s="86">
        <f t="shared" si="16"/>
        <v>0.18097672610845439</v>
      </c>
      <c r="Z53" s="83"/>
      <c r="AA53" s="86">
        <f t="shared" si="17"/>
        <v>0.58499999999999996</v>
      </c>
    </row>
    <row r="54" spans="23:33" x14ac:dyDescent="0.25">
      <c r="W54" s="7" t="s">
        <v>44</v>
      </c>
      <c r="X54" s="83"/>
      <c r="Y54" s="86">
        <f t="shared" si="16"/>
        <v>0.356628646323494</v>
      </c>
      <c r="Z54" s="83"/>
      <c r="AA54" s="86">
        <f t="shared" si="17"/>
        <v>-2.696629213483159E-2</v>
      </c>
    </row>
    <row r="61" spans="23:33" x14ac:dyDescent="0.25">
      <c r="W61" s="83" t="str">
        <f>'Power BI'!Q1</f>
        <v>Date</v>
      </c>
      <c r="X61" s="83" t="str">
        <f>'Power BI'!R1</f>
        <v>SL</v>
      </c>
      <c r="Y61" s="83" t="str">
        <f>'Power BI'!S1</f>
        <v>ASA</v>
      </c>
      <c r="Z61" s="83" t="str">
        <f>'Power BI'!T1</f>
        <v>Abandoned No Short %</v>
      </c>
      <c r="AA61" s="83" t="str">
        <f>'Power BI'!U1</f>
        <v>Offer</v>
      </c>
      <c r="AB61" s="83" t="s">
        <v>88</v>
      </c>
      <c r="AC61" t="s">
        <v>15</v>
      </c>
      <c r="AD61" t="s">
        <v>141</v>
      </c>
      <c r="AE61" t="s">
        <v>88</v>
      </c>
      <c r="AF61" t="s">
        <v>142</v>
      </c>
    </row>
    <row r="62" spans="23:33" x14ac:dyDescent="0.25">
      <c r="W62" s="88">
        <f>'Power BI'!Q2</f>
        <v>46123</v>
      </c>
      <c r="X62" s="97">
        <f>'Power BI'!R2</f>
        <v>0.74</v>
      </c>
      <c r="Y62" s="99">
        <f>'Power BI'!S2</f>
        <v>2.6620370370370372E-4</v>
      </c>
      <c r="Z62" s="97">
        <f>'Power BI'!T2</f>
        <v>0.12</v>
      </c>
      <c r="AA62" s="99">
        <f>'Power BI'!U2</f>
        <v>240</v>
      </c>
      <c r="AB62" s="88">
        <f>'Power BI'!Y2</f>
        <v>7</v>
      </c>
      <c r="AC62" s="1">
        <f>SUM(AH9-AD9+AA29)</f>
        <v>234.81664758346054</v>
      </c>
      <c r="AD62" s="2">
        <f>(AA62-AC62)/AC62</f>
        <v>2.207404146972651E-2</v>
      </c>
      <c r="AE62" t="str">
        <f>VLOOKUP(AB62,AF62:AG68,2,0)</f>
        <v>Sat</v>
      </c>
      <c r="AF62">
        <v>7</v>
      </c>
      <c r="AG62" t="s">
        <v>143</v>
      </c>
    </row>
    <row r="63" spans="23:33" x14ac:dyDescent="0.25">
      <c r="W63" s="88">
        <f>'Power BI'!Q3</f>
        <v>46124</v>
      </c>
      <c r="X63" s="97">
        <f>'Power BI'!R3</f>
        <v>0.87</v>
      </c>
      <c r="Y63" s="99">
        <f>'Power BI'!S3</f>
        <v>1.5046296296296297E-4</v>
      </c>
      <c r="Z63" s="97">
        <f>'Power BI'!T3</f>
        <v>0.03</v>
      </c>
      <c r="AA63" s="99">
        <f>'Power BI'!U3</f>
        <v>183</v>
      </c>
      <c r="AB63" s="88">
        <f>'Power BI'!Y3</f>
        <v>1</v>
      </c>
      <c r="AC63" s="1">
        <f>SUM(AH10-AD10+AA30)</f>
        <v>197.09800230632686</v>
      </c>
      <c r="AD63" s="2">
        <f t="shared" ref="AD63:AD67" si="18">(AA63-AC63)/AC63</f>
        <v>-7.1527880249217093E-2</v>
      </c>
      <c r="AE63" t="str">
        <f t="shared" ref="AE63:AE68" si="19">VLOOKUP(AB63,AF63:AG69,2,0)</f>
        <v>Sun</v>
      </c>
      <c r="AF63">
        <v>1</v>
      </c>
      <c r="AG63" t="s">
        <v>144</v>
      </c>
    </row>
    <row r="64" spans="23:33" x14ac:dyDescent="0.25">
      <c r="W64" s="88">
        <f>'Power BI'!Q4</f>
        <v>46125</v>
      </c>
      <c r="X64" s="97">
        <f>'Power BI'!R4</f>
        <v>0.83</v>
      </c>
      <c r="Y64" s="99">
        <f>'Power BI'!S4</f>
        <v>2.199074074074074E-4</v>
      </c>
      <c r="Z64" s="97">
        <f>'Power BI'!T4</f>
        <v>0.03</v>
      </c>
      <c r="AA64" s="99">
        <f>'Power BI'!U4</f>
        <v>1296</v>
      </c>
      <c r="AB64" s="88">
        <f>'Power BI'!Y4</f>
        <v>2</v>
      </c>
      <c r="AC64" s="1">
        <f>SUM(AH4-AD4+AA24)</f>
        <v>1088.8008619223504</v>
      </c>
      <c r="AD64" s="2">
        <f t="shared" si="18"/>
        <v>0.19030030680892904</v>
      </c>
      <c r="AE64" t="str">
        <f t="shared" si="19"/>
        <v>Mon</v>
      </c>
      <c r="AF64">
        <v>2</v>
      </c>
      <c r="AG64" t="s">
        <v>145</v>
      </c>
    </row>
    <row r="65" spans="23:33" x14ac:dyDescent="0.25">
      <c r="W65" s="88">
        <f>'Power BI'!Q5</f>
        <v>46126</v>
      </c>
      <c r="X65" s="97">
        <f>'Power BI'!R5</f>
        <v>0.92</v>
      </c>
      <c r="Y65" s="99">
        <f>'Power BI'!S5</f>
        <v>6.9444444444444444E-5</v>
      </c>
      <c r="Z65" s="97">
        <f>'Power BI'!T5</f>
        <v>0.02</v>
      </c>
      <c r="AA65" s="99">
        <f>'Power BI'!U5</f>
        <v>1069</v>
      </c>
      <c r="AB65" s="88">
        <f>'Power BI'!Y5</f>
        <v>3</v>
      </c>
      <c r="AC65" s="1">
        <f>SUM(AH5-AD5+AA25)</f>
        <v>1008.1038703834507</v>
      </c>
      <c r="AD65" s="2">
        <f t="shared" si="18"/>
        <v>6.040660234087418E-2</v>
      </c>
      <c r="AE65" t="str">
        <f t="shared" si="19"/>
        <v>Tue</v>
      </c>
      <c r="AF65">
        <v>3</v>
      </c>
      <c r="AG65" t="s">
        <v>146</v>
      </c>
    </row>
    <row r="66" spans="23:33" x14ac:dyDescent="0.25">
      <c r="W66" s="88">
        <f>'Power BI'!Q6</f>
        <v>46127</v>
      </c>
      <c r="X66" s="97">
        <f>'Power BI'!R6</f>
        <v>0.9</v>
      </c>
      <c r="Y66" s="99">
        <f>'Power BI'!S6</f>
        <v>2.7777777777777778E-4</v>
      </c>
      <c r="Z66" s="97">
        <f>'Power BI'!T6</f>
        <v>0.02</v>
      </c>
      <c r="AA66" s="99">
        <f>'Power BI'!U6</f>
        <v>1053</v>
      </c>
      <c r="AB66" s="88">
        <f>'Power BI'!Y6</f>
        <v>4</v>
      </c>
      <c r="AC66" s="1">
        <f>SUM(AH6-AD6+AA26)</f>
        <v>954.20968980382213</v>
      </c>
      <c r="AD66" s="2">
        <f t="shared" si="18"/>
        <v>0.10353102808722092</v>
      </c>
      <c r="AE66" t="str">
        <f t="shared" si="19"/>
        <v>Wed</v>
      </c>
      <c r="AF66">
        <v>4</v>
      </c>
      <c r="AG66" t="s">
        <v>147</v>
      </c>
    </row>
    <row r="67" spans="23:33" x14ac:dyDescent="0.25">
      <c r="W67" s="88">
        <f>'Power BI'!Q7</f>
        <v>46128</v>
      </c>
      <c r="X67" s="97">
        <f>'Power BI'!R7</f>
        <v>0.91</v>
      </c>
      <c r="Y67" s="99">
        <f>'Power BI'!S7</f>
        <v>8.1018518518518516E-5</v>
      </c>
      <c r="Z67" s="97">
        <f>'Power BI'!T7</f>
        <v>0.01</v>
      </c>
      <c r="AA67" s="99">
        <f>'Power BI'!U7</f>
        <v>1049</v>
      </c>
      <c r="AB67" s="88">
        <f>'Power BI'!Y7</f>
        <v>5</v>
      </c>
      <c r="AC67" s="1">
        <f>SUM(AH7-AD7+AD17)</f>
        <v>1262.1567586101598</v>
      </c>
      <c r="AD67" s="2">
        <f t="shared" si="18"/>
        <v>-0.16888295146862753</v>
      </c>
      <c r="AE67" t="str">
        <f t="shared" si="19"/>
        <v>Thu</v>
      </c>
      <c r="AF67">
        <v>5</v>
      </c>
      <c r="AG67" t="s">
        <v>148</v>
      </c>
    </row>
    <row r="68" spans="23:33" x14ac:dyDescent="0.25">
      <c r="W68" s="88">
        <f>'Power BI'!Q8</f>
        <v>46129</v>
      </c>
      <c r="X68" s="97">
        <f>'Power BI'!R8</f>
        <v>0.88</v>
      </c>
      <c r="Y68" s="99">
        <f>'Power BI'!S8</f>
        <v>2.4305555555555555E-4</v>
      </c>
      <c r="Z68" s="97">
        <f>'Power BI'!T8</f>
        <v>0.03</v>
      </c>
      <c r="AA68" s="99">
        <f>'Power BI'!U8</f>
        <v>883</v>
      </c>
      <c r="AB68" s="88">
        <f>'Power BI'!Y8</f>
        <v>6</v>
      </c>
      <c r="AC68" s="1">
        <f>SUM(AH8-AD8+AD18)</f>
        <v>1188.9740491299499</v>
      </c>
      <c r="AD68" s="2">
        <f>(AA68-AC68)/AC68</f>
        <v>-0.25734291623425348</v>
      </c>
      <c r="AE68" t="str">
        <f t="shared" si="19"/>
        <v>Fri</v>
      </c>
      <c r="AF68">
        <v>6</v>
      </c>
      <c r="AG68" t="s">
        <v>149</v>
      </c>
    </row>
    <row r="69" spans="23:33" x14ac:dyDescent="0.25">
      <c r="W69" s="88"/>
      <c r="X69" s="97"/>
      <c r="Y69" s="99"/>
      <c r="Z69" s="97"/>
      <c r="AA69" s="99"/>
      <c r="AB69" s="88"/>
    </row>
  </sheetData>
  <mergeCells count="13">
    <mergeCell ref="R11:S11"/>
    <mergeCell ref="R12:S12"/>
    <mergeCell ref="C9:S9"/>
    <mergeCell ref="R2:S2"/>
    <mergeCell ref="R4:S4"/>
    <mergeCell ref="R5:S5"/>
    <mergeCell ref="R6:S6"/>
    <mergeCell ref="R7:S7"/>
    <mergeCell ref="C3:S3"/>
    <mergeCell ref="K2:M2"/>
    <mergeCell ref="N2:P2"/>
    <mergeCell ref="R8:S8"/>
    <mergeCell ref="R10:S10"/>
  </mergeCells>
  <conditionalFormatting sqref="D4:D8">
    <cfRule type="iconSet" priority="15">
      <iconSet showValue="0">
        <cfvo type="percent" val="0"/>
        <cfvo type="num" val="0.75"/>
        <cfvo type="num" val="0.8"/>
      </iconSet>
    </cfRule>
  </conditionalFormatting>
  <conditionalFormatting sqref="D10:D12">
    <cfRule type="iconSet" priority="14">
      <iconSet showValue="0">
        <cfvo type="percent" val="0"/>
        <cfvo type="num" val="0.75"/>
        <cfvo type="num" val="0.8"/>
      </iconSet>
    </cfRule>
  </conditionalFormatting>
  <conditionalFormatting sqref="F4:F8">
    <cfRule type="iconSet" priority="13">
      <iconSet showValue="0" reverse="1">
        <cfvo type="percent" val="0"/>
        <cfvo type="num" val="31"/>
        <cfvo type="num" val="36"/>
      </iconSet>
    </cfRule>
  </conditionalFormatting>
  <conditionalFormatting sqref="F10:F12">
    <cfRule type="iconSet" priority="12">
      <iconSet showValue="0" reverse="1">
        <cfvo type="percent" val="0"/>
        <cfvo type="num" val="31"/>
        <cfvo type="num" val="36"/>
      </iconSet>
    </cfRule>
  </conditionalFormatting>
  <conditionalFormatting sqref="H4:H8">
    <cfRule type="iconSet" priority="11">
      <iconSet showValue="0" reverse="1">
        <cfvo type="percent" val="0"/>
        <cfvo type="num" val="0.03"/>
        <cfvo type="num" val="0.05"/>
      </iconSet>
    </cfRule>
  </conditionalFormatting>
  <conditionalFormatting sqref="H10:H12">
    <cfRule type="iconSet" priority="10">
      <iconSet showValue="0" reverse="1">
        <cfvo type="percent" val="0"/>
        <cfvo type="num" val="0.03"/>
        <cfvo type="num" val="0.05"/>
      </iconSet>
    </cfRule>
  </conditionalFormatting>
  <conditionalFormatting sqref="K4:K8">
    <cfRule type="iconSet" priority="6">
      <iconSet showValue="0" reverse="1">
        <cfvo type="percent" val="0"/>
        <cfvo type="num" val="0.33"/>
        <cfvo type="num" val="0.36"/>
      </iconSet>
    </cfRule>
    <cfRule type="iconSet" priority="8">
      <iconSet reverse="1">
        <cfvo type="percent" val="0"/>
        <cfvo type="num" val="0.11"/>
        <cfvo type="num" val="0.2"/>
      </iconSet>
    </cfRule>
  </conditionalFormatting>
  <conditionalFormatting sqref="K10:K12">
    <cfRule type="iconSet" priority="7">
      <iconSet showValue="0" reverse="1">
        <cfvo type="percent" val="0"/>
        <cfvo type="num" val="0.33"/>
        <cfvo type="num" val="0.36"/>
      </iconSet>
    </cfRule>
  </conditionalFormatting>
  <conditionalFormatting sqref="N4:N8">
    <cfRule type="iconSet" priority="2">
      <iconSet showValue="0" reverse="1">
        <cfvo type="percent" val="0"/>
        <cfvo type="num" val="0.06"/>
        <cfvo type="num" val="0.11"/>
      </iconSet>
    </cfRule>
  </conditionalFormatting>
  <conditionalFormatting sqref="N10:N12">
    <cfRule type="iconSet" priority="1">
      <iconSet showValue="0" reverse="1">
        <cfvo type="percent" val="0"/>
        <cfvo type="num" val="0.06"/>
        <cfvo type="num" val="0.11"/>
      </iconSet>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0B29A-657A-4DC2-8681-5B4CFFF184BD}">
  <dimension ref="A1:Y72"/>
  <sheetViews>
    <sheetView topLeftCell="F9" zoomScale="115" zoomScaleNormal="115" workbookViewId="0">
      <selection activeCell="U21" sqref="U21"/>
    </sheetView>
  </sheetViews>
  <sheetFormatPr defaultRowHeight="15" x14ac:dyDescent="0.25"/>
  <cols>
    <col min="1" max="1" width="23.140625" customWidth="1"/>
    <col min="2" max="2" width="25.85546875" customWidth="1"/>
    <col min="3" max="3" width="26.85546875" customWidth="1"/>
    <col min="8" max="8" width="11.85546875" style="118" customWidth="1"/>
    <col min="9" max="9" width="13.7109375" customWidth="1"/>
    <col min="17" max="17" width="25.85546875" customWidth="1"/>
  </cols>
  <sheetData>
    <row r="1" spans="1:25" x14ac:dyDescent="0.25">
      <c r="A1" s="76" t="s">
        <v>127</v>
      </c>
      <c r="B1" s="76" t="s">
        <v>128</v>
      </c>
      <c r="C1" s="76" t="s">
        <v>0</v>
      </c>
      <c r="D1" s="76" t="s">
        <v>13</v>
      </c>
      <c r="E1" s="76" t="s">
        <v>119</v>
      </c>
      <c r="F1" s="76" t="s">
        <v>120</v>
      </c>
      <c r="G1" s="76" t="s">
        <v>121</v>
      </c>
      <c r="H1" s="122" t="s">
        <v>122</v>
      </c>
      <c r="I1" s="76" t="s">
        <v>123</v>
      </c>
      <c r="Q1" s="77" t="s">
        <v>1</v>
      </c>
      <c r="R1" s="77" t="s">
        <v>0</v>
      </c>
      <c r="S1" s="77" t="s">
        <v>13</v>
      </c>
      <c r="T1" s="77" t="s">
        <v>119</v>
      </c>
      <c r="U1" s="77" t="s">
        <v>120</v>
      </c>
      <c r="V1" s="77" t="s">
        <v>121</v>
      </c>
      <c r="W1" s="77" t="s">
        <v>122</v>
      </c>
      <c r="X1" s="77" t="s">
        <v>123</v>
      </c>
      <c r="Y1" s="98" t="s">
        <v>88</v>
      </c>
    </row>
    <row r="2" spans="1:25" x14ac:dyDescent="0.25">
      <c r="A2" s="145" t="s">
        <v>28</v>
      </c>
      <c r="B2" s="104" t="s">
        <v>126</v>
      </c>
      <c r="C2" s="105">
        <v>0.83799404730735572</v>
      </c>
      <c r="D2" s="102" t="s">
        <v>160</v>
      </c>
      <c r="E2" s="105">
        <v>4.5999999999999999E-2</v>
      </c>
      <c r="F2" s="106">
        <v>1816</v>
      </c>
      <c r="G2" s="106">
        <v>1725</v>
      </c>
      <c r="H2" s="102" t="s">
        <v>189</v>
      </c>
      <c r="I2" s="102" t="s">
        <v>190</v>
      </c>
      <c r="Q2" s="121">
        <v>46123</v>
      </c>
      <c r="R2" s="107">
        <v>0.74</v>
      </c>
      <c r="S2" s="120">
        <v>2.6620370370370372E-4</v>
      </c>
      <c r="T2" s="107">
        <v>0.12</v>
      </c>
      <c r="U2" s="108">
        <v>240</v>
      </c>
      <c r="V2" s="108">
        <v>209</v>
      </c>
      <c r="W2" s="120">
        <v>4.5601851851851853E-3</v>
      </c>
      <c r="X2" s="120">
        <v>4.861111111111111E-4</v>
      </c>
      <c r="Y2">
        <f>WEEKDAY(Q2)</f>
        <v>7</v>
      </c>
    </row>
    <row r="3" spans="1:25" x14ac:dyDescent="0.25">
      <c r="A3" s="145" t="s">
        <v>28</v>
      </c>
      <c r="B3" s="103" t="s">
        <v>134</v>
      </c>
      <c r="C3" s="107">
        <v>0.71666666666666667</v>
      </c>
      <c r="D3" s="101" t="s">
        <v>167</v>
      </c>
      <c r="E3" s="107">
        <v>0.11600000000000001</v>
      </c>
      <c r="F3" s="108">
        <v>26</v>
      </c>
      <c r="G3" s="108">
        <v>21</v>
      </c>
      <c r="H3" s="101" t="s">
        <v>191</v>
      </c>
      <c r="I3" s="101" t="s">
        <v>192</v>
      </c>
      <c r="Q3" s="121">
        <v>46124</v>
      </c>
      <c r="R3" s="107">
        <v>0.87</v>
      </c>
      <c r="S3" s="120">
        <v>1.5046296296296297E-4</v>
      </c>
      <c r="T3" s="107">
        <v>0.03</v>
      </c>
      <c r="U3" s="108">
        <v>183</v>
      </c>
      <c r="V3" s="108">
        <v>175</v>
      </c>
      <c r="W3" s="120">
        <v>4.6064814814814814E-3</v>
      </c>
      <c r="X3" s="120">
        <v>1.7361111111111112E-4</v>
      </c>
      <c r="Y3">
        <f t="shared" ref="Y3:Y8" si="0">WEEKDAY(Q3)</f>
        <v>1</v>
      </c>
    </row>
    <row r="4" spans="1:25" x14ac:dyDescent="0.25">
      <c r="A4" s="145" t="s">
        <v>28</v>
      </c>
      <c r="B4" s="103" t="s">
        <v>136</v>
      </c>
      <c r="C4" s="107">
        <v>0.85218194176010553</v>
      </c>
      <c r="D4" s="101" t="s">
        <v>188</v>
      </c>
      <c r="E4" s="107">
        <v>3.6000000000000004E-2</v>
      </c>
      <c r="F4" s="108">
        <v>1028</v>
      </c>
      <c r="G4" s="108">
        <v>987</v>
      </c>
      <c r="H4" s="101" t="s">
        <v>193</v>
      </c>
      <c r="I4" s="101" t="s">
        <v>162</v>
      </c>
      <c r="Q4" s="121">
        <v>46125</v>
      </c>
      <c r="R4" s="107">
        <v>0.83</v>
      </c>
      <c r="S4" s="120">
        <v>2.199074074074074E-4</v>
      </c>
      <c r="T4" s="107">
        <v>0.03</v>
      </c>
      <c r="U4" s="108">
        <v>1296</v>
      </c>
      <c r="V4" s="108">
        <v>1257</v>
      </c>
      <c r="W4" s="120">
        <v>5.1967592592592595E-3</v>
      </c>
      <c r="X4" s="120">
        <v>2.4305555555555555E-4</v>
      </c>
      <c r="Y4">
        <f t="shared" si="0"/>
        <v>2</v>
      </c>
    </row>
    <row r="5" spans="1:25" x14ac:dyDescent="0.25">
      <c r="A5" s="145" t="s">
        <v>28</v>
      </c>
      <c r="B5" s="103" t="s">
        <v>137</v>
      </c>
      <c r="C5" s="107">
        <v>0.82274784640093446</v>
      </c>
      <c r="D5" s="101" t="s">
        <v>168</v>
      </c>
      <c r="E5" s="107">
        <v>5.8000000000000003E-2</v>
      </c>
      <c r="F5" s="108">
        <v>762</v>
      </c>
      <c r="G5" s="108">
        <v>717</v>
      </c>
      <c r="H5" s="101" t="s">
        <v>194</v>
      </c>
      <c r="I5" s="101" t="s">
        <v>133</v>
      </c>
      <c r="Q5" s="121">
        <v>46126</v>
      </c>
      <c r="R5" s="107">
        <v>0.92</v>
      </c>
      <c r="S5" s="120">
        <v>6.9444444444444444E-5</v>
      </c>
      <c r="T5" s="107">
        <v>0.02</v>
      </c>
      <c r="U5" s="108">
        <v>1069</v>
      </c>
      <c r="V5" s="108">
        <v>1050</v>
      </c>
      <c r="W5" s="120">
        <v>5.2662037037037035E-3</v>
      </c>
      <c r="X5" s="120">
        <v>8.1018518518518516E-5</v>
      </c>
      <c r="Y5">
        <f t="shared" si="0"/>
        <v>3</v>
      </c>
    </row>
    <row r="6" spans="1:25" x14ac:dyDescent="0.25">
      <c r="A6" s="145" t="s">
        <v>31</v>
      </c>
      <c r="B6" s="104" t="s">
        <v>126</v>
      </c>
      <c r="C6" s="105">
        <v>0.88415373244641537</v>
      </c>
      <c r="D6" s="102" t="s">
        <v>166</v>
      </c>
      <c r="E6" s="105">
        <v>3.0000000000000002E-2</v>
      </c>
      <c r="F6" s="106">
        <v>1233</v>
      </c>
      <c r="G6" s="106">
        <v>1194</v>
      </c>
      <c r="H6" s="102" t="s">
        <v>184</v>
      </c>
      <c r="I6" s="102" t="s">
        <v>168</v>
      </c>
      <c r="Q6" s="121">
        <v>46127</v>
      </c>
      <c r="R6" s="107">
        <v>0.9</v>
      </c>
      <c r="S6" s="120">
        <v>2.7777777777777778E-4</v>
      </c>
      <c r="T6" s="107">
        <v>0.02</v>
      </c>
      <c r="U6" s="108">
        <v>1053</v>
      </c>
      <c r="V6" s="108">
        <v>1029</v>
      </c>
      <c r="W6" s="120">
        <v>5.0578703703703706E-3</v>
      </c>
      <c r="X6" s="120">
        <v>2.8935185185185184E-4</v>
      </c>
      <c r="Y6">
        <f t="shared" si="0"/>
        <v>4</v>
      </c>
    </row>
    <row r="7" spans="1:25" x14ac:dyDescent="0.25">
      <c r="A7" s="145" t="s">
        <v>31</v>
      </c>
      <c r="B7" s="103" t="s">
        <v>131</v>
      </c>
      <c r="C7" s="107">
        <v>0.89839572192513373</v>
      </c>
      <c r="D7" s="101" t="s">
        <v>185</v>
      </c>
      <c r="E7" s="107">
        <v>2.2000000000000002E-2</v>
      </c>
      <c r="F7" s="108">
        <v>374</v>
      </c>
      <c r="G7" s="108">
        <v>366</v>
      </c>
      <c r="H7" s="101" t="s">
        <v>186</v>
      </c>
      <c r="I7" s="101" t="s">
        <v>163</v>
      </c>
      <c r="Q7" s="121">
        <v>46128</v>
      </c>
      <c r="R7" s="107">
        <v>0.91</v>
      </c>
      <c r="S7" s="120">
        <v>8.1018518518518516E-5</v>
      </c>
      <c r="T7" s="107">
        <v>0.01</v>
      </c>
      <c r="U7" s="108">
        <v>1049</v>
      </c>
      <c r="V7" s="108">
        <v>1033</v>
      </c>
      <c r="W7" s="120">
        <v>5.1967592592592595E-3</v>
      </c>
      <c r="X7" s="120">
        <v>1.1574074074074075E-4</v>
      </c>
      <c r="Y7">
        <f t="shared" si="0"/>
        <v>5</v>
      </c>
    </row>
    <row r="8" spans="1:25" x14ac:dyDescent="0.25">
      <c r="A8" s="145" t="s">
        <v>31</v>
      </c>
      <c r="B8" s="103" t="s">
        <v>132</v>
      </c>
      <c r="C8" s="107">
        <v>0.87793118096856415</v>
      </c>
      <c r="D8" s="101" t="s">
        <v>125</v>
      </c>
      <c r="E8" s="107">
        <v>3.3000000000000002E-2</v>
      </c>
      <c r="F8" s="108">
        <v>859</v>
      </c>
      <c r="G8" s="108">
        <v>828</v>
      </c>
      <c r="H8" s="101" t="s">
        <v>187</v>
      </c>
      <c r="I8" s="101" t="s">
        <v>188</v>
      </c>
      <c r="Q8" s="123">
        <v>46129</v>
      </c>
      <c r="R8" s="105">
        <v>0.88</v>
      </c>
      <c r="S8" s="124">
        <v>2.4305555555555555E-4</v>
      </c>
      <c r="T8" s="105">
        <v>0.03</v>
      </c>
      <c r="U8" s="106">
        <v>883</v>
      </c>
      <c r="V8" s="106">
        <v>859</v>
      </c>
      <c r="W8" s="124">
        <v>5.092592592592593E-3</v>
      </c>
      <c r="X8" s="124">
        <v>2.6620370370370372E-4</v>
      </c>
      <c r="Y8">
        <f t="shared" si="0"/>
        <v>6</v>
      </c>
    </row>
    <row r="9" spans="1:25" x14ac:dyDescent="0.25">
      <c r="A9" s="145" t="s">
        <v>34</v>
      </c>
      <c r="B9" s="104" t="s">
        <v>126</v>
      </c>
      <c r="C9" s="105">
        <v>0.89605796005796001</v>
      </c>
      <c r="D9" s="102" t="s">
        <v>182</v>
      </c>
      <c r="E9" s="105">
        <v>1.0999999999999999E-2</v>
      </c>
      <c r="F9" s="106">
        <v>978</v>
      </c>
      <c r="G9" s="106">
        <v>965</v>
      </c>
      <c r="H9" s="102" t="s">
        <v>169</v>
      </c>
      <c r="I9" s="102" t="s">
        <v>163</v>
      </c>
      <c r="Q9" s="113" t="s">
        <v>126</v>
      </c>
      <c r="R9" s="114">
        <v>0.88</v>
      </c>
      <c r="S9" s="125">
        <v>1.8518518518518518E-4</v>
      </c>
      <c r="T9" s="114">
        <v>0.03</v>
      </c>
      <c r="U9" s="78">
        <v>5773</v>
      </c>
      <c r="V9" s="78">
        <v>5612</v>
      </c>
      <c r="W9" s="125">
        <v>5.1273148148148146E-3</v>
      </c>
      <c r="X9" s="125">
        <v>2.3148148148148149E-4</v>
      </c>
    </row>
    <row r="10" spans="1:25" x14ac:dyDescent="0.25">
      <c r="A10" s="145" t="s">
        <v>34</v>
      </c>
      <c r="B10" s="103" t="s">
        <v>86</v>
      </c>
      <c r="C10" s="107">
        <v>0.80951148495632486</v>
      </c>
      <c r="D10" s="101" t="s">
        <v>124</v>
      </c>
      <c r="E10" s="107">
        <v>1.8000000000000002E-2</v>
      </c>
      <c r="F10" s="108">
        <v>283</v>
      </c>
      <c r="G10" s="108">
        <v>276</v>
      </c>
      <c r="H10" s="101" t="s">
        <v>183</v>
      </c>
      <c r="I10" s="101" t="s">
        <v>167</v>
      </c>
    </row>
    <row r="11" spans="1:25" x14ac:dyDescent="0.25">
      <c r="A11" s="145" t="s">
        <v>34</v>
      </c>
      <c r="B11" s="103" t="s">
        <v>129</v>
      </c>
      <c r="C11" s="107">
        <v>0.93110055300257033</v>
      </c>
      <c r="D11" s="101" t="s">
        <v>164</v>
      </c>
      <c r="E11" s="107">
        <v>8.0000000000000002E-3</v>
      </c>
      <c r="F11" s="108">
        <v>695</v>
      </c>
      <c r="G11" s="108">
        <v>689</v>
      </c>
      <c r="H11" s="101" t="s">
        <v>169</v>
      </c>
      <c r="I11" s="101" t="s">
        <v>164</v>
      </c>
    </row>
    <row r="12" spans="1:25" x14ac:dyDescent="0.25">
      <c r="A12" s="145" t="s">
        <v>37</v>
      </c>
      <c r="B12" s="104" t="s">
        <v>126</v>
      </c>
      <c r="C12" s="105">
        <v>0.8065033914979548</v>
      </c>
      <c r="D12" s="102" t="s">
        <v>188</v>
      </c>
      <c r="E12" s="105">
        <v>3.4000000000000002E-2</v>
      </c>
      <c r="F12" s="106">
        <v>180</v>
      </c>
      <c r="G12" s="106">
        <v>172</v>
      </c>
      <c r="H12" s="102" t="s">
        <v>203</v>
      </c>
      <c r="I12" s="102" t="s">
        <v>160</v>
      </c>
    </row>
    <row r="13" spans="1:25" x14ac:dyDescent="0.25">
      <c r="A13" s="145" t="s">
        <v>37</v>
      </c>
      <c r="B13" s="103" t="s">
        <v>37</v>
      </c>
      <c r="C13" s="107">
        <v>0.8065033914979548</v>
      </c>
      <c r="D13" s="101" t="s">
        <v>188</v>
      </c>
      <c r="E13" s="107">
        <v>3.4000000000000002E-2</v>
      </c>
      <c r="F13" s="108">
        <v>180</v>
      </c>
      <c r="G13" s="108">
        <v>172</v>
      </c>
      <c r="H13" s="101" t="s">
        <v>203</v>
      </c>
      <c r="I13" s="101" t="s">
        <v>160</v>
      </c>
    </row>
    <row r="14" spans="1:25" x14ac:dyDescent="0.25">
      <c r="A14" s="145" t="s">
        <v>39</v>
      </c>
      <c r="B14" s="104" t="s">
        <v>126</v>
      </c>
      <c r="C14" s="105">
        <v>0.96113074204946991</v>
      </c>
      <c r="D14" s="102" t="s">
        <v>180</v>
      </c>
      <c r="E14" s="105">
        <v>8.0000000000000002E-3</v>
      </c>
      <c r="F14" s="106">
        <v>283</v>
      </c>
      <c r="G14" s="106">
        <v>281</v>
      </c>
      <c r="H14" s="102" t="s">
        <v>181</v>
      </c>
      <c r="I14" s="102" t="s">
        <v>130</v>
      </c>
    </row>
    <row r="15" spans="1:25" x14ac:dyDescent="0.25">
      <c r="A15" s="145" t="s">
        <v>39</v>
      </c>
      <c r="B15" s="103" t="s">
        <v>39</v>
      </c>
      <c r="C15" s="107">
        <v>0.96113074204946991</v>
      </c>
      <c r="D15" s="101" t="s">
        <v>180</v>
      </c>
      <c r="E15" s="107">
        <v>8.0000000000000002E-3</v>
      </c>
      <c r="F15" s="108">
        <v>283</v>
      </c>
      <c r="G15" s="108">
        <v>281</v>
      </c>
      <c r="H15" s="101" t="s">
        <v>181</v>
      </c>
      <c r="I15" s="101" t="s">
        <v>130</v>
      </c>
    </row>
    <row r="16" spans="1:25" x14ac:dyDescent="0.25">
      <c r="A16" s="145" t="s">
        <v>138</v>
      </c>
      <c r="B16" s="104" t="s">
        <v>126</v>
      </c>
      <c r="C16" s="105">
        <v>0.92167834132454307</v>
      </c>
      <c r="D16" s="102" t="s">
        <v>182</v>
      </c>
      <c r="E16" s="105">
        <v>4.0000000000000001E-3</v>
      </c>
      <c r="F16" s="106">
        <v>1137</v>
      </c>
      <c r="G16" s="106">
        <v>1132</v>
      </c>
      <c r="H16" s="102" t="s">
        <v>205</v>
      </c>
      <c r="I16" s="102" t="s">
        <v>182</v>
      </c>
    </row>
    <row r="17" spans="1:25" x14ac:dyDescent="0.25">
      <c r="A17" s="145" t="s">
        <v>138</v>
      </c>
      <c r="B17" s="103" t="s">
        <v>138</v>
      </c>
      <c r="C17" s="107">
        <v>0.92167834132454307</v>
      </c>
      <c r="D17" s="101" t="s">
        <v>182</v>
      </c>
      <c r="E17" s="107">
        <v>4.0000000000000001E-3</v>
      </c>
      <c r="F17" s="108">
        <v>1137</v>
      </c>
      <c r="G17" s="108">
        <v>1132</v>
      </c>
      <c r="H17" s="101" t="s">
        <v>205</v>
      </c>
      <c r="I17" s="101" t="s">
        <v>182</v>
      </c>
    </row>
    <row r="18" spans="1:25" x14ac:dyDescent="0.25">
      <c r="A18" s="145" t="s">
        <v>43</v>
      </c>
      <c r="B18" s="104" t="s">
        <v>126</v>
      </c>
      <c r="C18" s="105">
        <v>0.85135135135135132</v>
      </c>
      <c r="D18" s="102" t="s">
        <v>163</v>
      </c>
      <c r="E18" s="105">
        <v>2.8000000000000001E-2</v>
      </c>
      <c r="F18" s="106">
        <v>74</v>
      </c>
      <c r="G18" s="106">
        <v>72</v>
      </c>
      <c r="H18" s="102" t="s">
        <v>204</v>
      </c>
      <c r="I18" s="102" t="s">
        <v>155</v>
      </c>
    </row>
    <row r="19" spans="1:25" x14ac:dyDescent="0.25">
      <c r="A19" s="145" t="s">
        <v>43</v>
      </c>
      <c r="B19" s="103" t="s">
        <v>43</v>
      </c>
      <c r="C19" s="107">
        <v>0.85135135135135132</v>
      </c>
      <c r="D19" s="101" t="s">
        <v>163</v>
      </c>
      <c r="E19" s="107">
        <v>2.8000000000000001E-2</v>
      </c>
      <c r="F19" s="108">
        <v>74</v>
      </c>
      <c r="G19" s="108">
        <v>72</v>
      </c>
      <c r="H19" s="101" t="s">
        <v>204</v>
      </c>
      <c r="I19" s="101" t="s">
        <v>155</v>
      </c>
      <c r="Q19" s="77" t="s">
        <v>127</v>
      </c>
      <c r="R19" s="77" t="s">
        <v>0</v>
      </c>
      <c r="S19" s="77" t="s">
        <v>13</v>
      </c>
      <c r="T19" s="77" t="s">
        <v>119</v>
      </c>
      <c r="U19" s="77" t="s">
        <v>120</v>
      </c>
      <c r="V19" s="77" t="s">
        <v>121</v>
      </c>
      <c r="W19" s="77" t="s">
        <v>122</v>
      </c>
      <c r="X19" s="77" t="s">
        <v>123</v>
      </c>
    </row>
    <row r="20" spans="1:25" x14ac:dyDescent="0.25">
      <c r="A20" s="145" t="s">
        <v>44</v>
      </c>
      <c r="B20" s="104" t="s">
        <v>126</v>
      </c>
      <c r="C20" s="105">
        <v>0.86111111111111116</v>
      </c>
      <c r="D20" s="102" t="s">
        <v>124</v>
      </c>
      <c r="E20" s="105">
        <v>1.3999999999999999E-2</v>
      </c>
      <c r="F20" s="106">
        <v>72</v>
      </c>
      <c r="G20" s="106">
        <v>71</v>
      </c>
      <c r="H20" s="102" t="s">
        <v>195</v>
      </c>
      <c r="I20" s="102" t="s">
        <v>135</v>
      </c>
      <c r="Q20" s="101" t="s">
        <v>151</v>
      </c>
      <c r="R20" s="107">
        <v>0.94378194207836452</v>
      </c>
      <c r="S20" s="101" t="s">
        <v>130</v>
      </c>
      <c r="T20" s="107"/>
      <c r="U20" s="108">
        <v>592</v>
      </c>
      <c r="V20" s="108">
        <v>587</v>
      </c>
      <c r="W20" s="101" t="s">
        <v>206</v>
      </c>
      <c r="X20" s="101" t="s">
        <v>130</v>
      </c>
      <c r="Y20" s="1"/>
    </row>
    <row r="21" spans="1:25" x14ac:dyDescent="0.25">
      <c r="A21" s="145" t="s">
        <v>44</v>
      </c>
      <c r="B21" s="103" t="s">
        <v>79</v>
      </c>
      <c r="C21" s="107">
        <v>0.83333333333333337</v>
      </c>
      <c r="D21" s="101" t="s">
        <v>196</v>
      </c>
      <c r="E21" s="107"/>
      <c r="F21" s="108">
        <v>6</v>
      </c>
      <c r="G21" s="108">
        <v>6</v>
      </c>
      <c r="H21" s="101" t="s">
        <v>197</v>
      </c>
      <c r="I21" s="101" t="s">
        <v>196</v>
      </c>
      <c r="Q21" s="102" t="s">
        <v>126</v>
      </c>
      <c r="R21" s="105">
        <v>0.94378194207836452</v>
      </c>
      <c r="S21" s="102" t="s">
        <v>130</v>
      </c>
      <c r="T21" s="105"/>
      <c r="U21" s="106">
        <v>592</v>
      </c>
      <c r="V21" s="106">
        <v>587</v>
      </c>
      <c r="W21" s="102" t="s">
        <v>206</v>
      </c>
      <c r="X21" s="102" t="s">
        <v>130</v>
      </c>
      <c r="Y21" s="78"/>
    </row>
    <row r="22" spans="1:25" x14ac:dyDescent="0.25">
      <c r="A22" s="145" t="s">
        <v>44</v>
      </c>
      <c r="B22" s="103" t="s">
        <v>80</v>
      </c>
      <c r="C22" s="107">
        <v>0.9375</v>
      </c>
      <c r="D22" s="101" t="s">
        <v>198</v>
      </c>
      <c r="E22" s="107"/>
      <c r="F22" s="108">
        <v>16</v>
      </c>
      <c r="G22" s="108">
        <v>16</v>
      </c>
      <c r="H22" s="101" t="s">
        <v>199</v>
      </c>
      <c r="I22" s="101" t="s">
        <v>198</v>
      </c>
    </row>
    <row r="23" spans="1:25" x14ac:dyDescent="0.25">
      <c r="A23" s="145" t="s">
        <v>44</v>
      </c>
      <c r="B23" s="103" t="s">
        <v>81</v>
      </c>
      <c r="C23" s="107">
        <v>0.89655172413793105</v>
      </c>
      <c r="D23" s="101" t="s">
        <v>160</v>
      </c>
      <c r="E23" s="107"/>
      <c r="F23" s="108">
        <v>29</v>
      </c>
      <c r="G23" s="108">
        <v>29</v>
      </c>
      <c r="H23" s="101" t="s">
        <v>200</v>
      </c>
      <c r="I23" s="101" t="s">
        <v>160</v>
      </c>
      <c r="Q23" t="s">
        <v>158</v>
      </c>
    </row>
    <row r="24" spans="1:25" x14ac:dyDescent="0.25">
      <c r="A24" s="145" t="s">
        <v>44</v>
      </c>
      <c r="B24" s="103" t="s">
        <v>82</v>
      </c>
      <c r="C24" s="107">
        <v>0.76190476190476186</v>
      </c>
      <c r="D24" s="101" t="s">
        <v>162</v>
      </c>
      <c r="E24" s="107">
        <v>4.8000000000000001E-2</v>
      </c>
      <c r="F24" s="108">
        <v>21</v>
      </c>
      <c r="G24" s="108">
        <v>20</v>
      </c>
      <c r="H24" s="101" t="s">
        <v>201</v>
      </c>
      <c r="I24" s="101" t="s">
        <v>202</v>
      </c>
    </row>
    <row r="25" spans="1:25" x14ac:dyDescent="0.25">
      <c r="A25" s="116"/>
      <c r="B25" s="103"/>
      <c r="C25" s="107"/>
      <c r="D25" s="101"/>
      <c r="E25" s="107"/>
      <c r="F25" s="108"/>
      <c r="G25" s="108"/>
      <c r="H25" s="101"/>
      <c r="I25" s="101"/>
    </row>
    <row r="26" spans="1:25" x14ac:dyDescent="0.25">
      <c r="A26" t="s">
        <v>126</v>
      </c>
      <c r="C26" s="105">
        <v>0.87975035422665349</v>
      </c>
      <c r="D26" s="102" t="s">
        <v>157</v>
      </c>
      <c r="E26" s="105">
        <v>2.5000000000000001E-2</v>
      </c>
      <c r="F26" s="106">
        <v>5773</v>
      </c>
      <c r="G26" s="106">
        <v>5612</v>
      </c>
      <c r="H26" s="102" t="s">
        <v>165</v>
      </c>
      <c r="I26" s="102" t="s">
        <v>155</v>
      </c>
    </row>
    <row r="30" spans="1:25" x14ac:dyDescent="0.25">
      <c r="A30" t="s">
        <v>156</v>
      </c>
    </row>
    <row r="31" spans="1:25" x14ac:dyDescent="0.25">
      <c r="K31" s="145"/>
      <c r="L31" s="104"/>
      <c r="M31" s="105"/>
      <c r="N31" s="102"/>
      <c r="O31" s="105"/>
      <c r="P31" s="106"/>
      <c r="Q31" s="106"/>
      <c r="R31" s="102"/>
      <c r="S31" s="102"/>
    </row>
    <row r="32" spans="1:25" x14ac:dyDescent="0.25">
      <c r="K32" s="145"/>
      <c r="L32" s="103"/>
      <c r="M32" s="107"/>
      <c r="N32" s="101"/>
      <c r="O32" s="107"/>
      <c r="P32" s="108"/>
      <c r="Q32" s="108"/>
      <c r="R32" s="101"/>
      <c r="S32" s="101"/>
    </row>
    <row r="33" spans="11:19" x14ac:dyDescent="0.25">
      <c r="K33" s="145"/>
      <c r="L33" s="103"/>
      <c r="M33" s="107"/>
      <c r="N33" s="101"/>
      <c r="O33" s="107"/>
      <c r="P33" s="108"/>
      <c r="Q33" s="108"/>
      <c r="R33" s="101"/>
      <c r="S33" s="101"/>
    </row>
    <row r="34" spans="11:19" x14ac:dyDescent="0.25">
      <c r="K34" s="145"/>
      <c r="L34" s="103"/>
      <c r="M34" s="107"/>
      <c r="N34" s="101"/>
      <c r="O34" s="107"/>
      <c r="P34" s="108"/>
      <c r="Q34" s="108"/>
      <c r="R34" s="101"/>
      <c r="S34" s="101"/>
    </row>
    <row r="35" spans="11:19" x14ac:dyDescent="0.25">
      <c r="K35" s="145"/>
      <c r="L35" s="104"/>
      <c r="M35" s="105"/>
      <c r="N35" s="102"/>
      <c r="O35" s="105"/>
      <c r="P35" s="106"/>
      <c r="Q35" s="106"/>
      <c r="R35" s="102"/>
      <c r="S35" s="102"/>
    </row>
    <row r="36" spans="11:19" x14ac:dyDescent="0.25">
      <c r="K36" s="145"/>
      <c r="L36" s="103"/>
      <c r="M36" s="107"/>
      <c r="N36" s="101"/>
      <c r="O36" s="107"/>
      <c r="P36" s="108"/>
      <c r="Q36" s="108"/>
      <c r="R36" s="101"/>
      <c r="S36" s="101"/>
    </row>
    <row r="37" spans="11:19" x14ac:dyDescent="0.25">
      <c r="K37" s="145"/>
      <c r="L37" s="103"/>
      <c r="M37" s="107"/>
      <c r="N37" s="101"/>
      <c r="O37" s="107"/>
      <c r="P37" s="108"/>
      <c r="Q37" s="108"/>
      <c r="R37" s="101"/>
      <c r="S37" s="101"/>
    </row>
    <row r="38" spans="11:19" x14ac:dyDescent="0.25">
      <c r="K38" s="145"/>
      <c r="L38" s="104"/>
      <c r="M38" s="105"/>
      <c r="N38" s="102"/>
      <c r="O38" s="105"/>
      <c r="P38" s="106"/>
      <c r="Q38" s="106"/>
      <c r="R38" s="102"/>
      <c r="S38" s="102"/>
    </row>
    <row r="39" spans="11:19" x14ac:dyDescent="0.25">
      <c r="K39" s="145"/>
      <c r="L39" s="103"/>
      <c r="M39" s="107"/>
      <c r="N39" s="101"/>
      <c r="O39" s="107"/>
      <c r="P39" s="108"/>
      <c r="Q39" s="108"/>
      <c r="R39" s="101"/>
      <c r="S39" s="101"/>
    </row>
    <row r="40" spans="11:19" x14ac:dyDescent="0.25">
      <c r="K40" s="145"/>
      <c r="L40" s="103"/>
      <c r="M40" s="107"/>
      <c r="N40" s="101"/>
      <c r="O40" s="107"/>
      <c r="P40" s="108"/>
      <c r="Q40" s="108"/>
      <c r="R40" s="101"/>
      <c r="S40" s="101"/>
    </row>
    <row r="41" spans="11:19" x14ac:dyDescent="0.25">
      <c r="K41" s="145"/>
      <c r="L41" s="104"/>
      <c r="M41" s="105"/>
      <c r="N41" s="102"/>
      <c r="O41" s="105"/>
      <c r="P41" s="106"/>
      <c r="Q41" s="106"/>
      <c r="R41" s="102"/>
      <c r="S41" s="102"/>
    </row>
    <row r="42" spans="11:19" x14ac:dyDescent="0.25">
      <c r="K42" s="145"/>
      <c r="L42" s="103"/>
      <c r="M42" s="107"/>
      <c r="N42" s="101"/>
      <c r="O42" s="107"/>
      <c r="P42" s="108"/>
      <c r="Q42" s="108"/>
      <c r="R42" s="101"/>
      <c r="S42" s="101"/>
    </row>
    <row r="43" spans="11:19" x14ac:dyDescent="0.25">
      <c r="K43" s="145"/>
      <c r="L43" s="104"/>
      <c r="M43" s="105"/>
      <c r="N43" s="102"/>
      <c r="O43" s="105"/>
      <c r="P43" s="106"/>
      <c r="Q43" s="106"/>
      <c r="R43" s="102"/>
      <c r="S43" s="102"/>
    </row>
    <row r="44" spans="11:19" x14ac:dyDescent="0.25">
      <c r="K44" s="145"/>
      <c r="L44" s="103"/>
      <c r="M44" s="107"/>
      <c r="N44" s="101"/>
      <c r="O44" s="107"/>
      <c r="P44" s="108"/>
      <c r="Q44" s="108"/>
      <c r="R44" s="101"/>
      <c r="S44" s="101"/>
    </row>
    <row r="45" spans="11:19" x14ac:dyDescent="0.25">
      <c r="K45" s="145"/>
      <c r="L45" s="104"/>
      <c r="M45" s="105"/>
      <c r="N45" s="102"/>
      <c r="O45" s="105"/>
      <c r="P45" s="106"/>
      <c r="Q45" s="106"/>
      <c r="R45" s="102"/>
      <c r="S45" s="102"/>
    </row>
    <row r="46" spans="11:19" x14ac:dyDescent="0.25">
      <c r="K46" s="145"/>
      <c r="L46" s="103"/>
      <c r="M46" s="107"/>
      <c r="N46" s="101"/>
      <c r="O46" s="107"/>
      <c r="P46" s="108"/>
      <c r="Q46" s="108"/>
      <c r="R46" s="101"/>
      <c r="S46" s="101"/>
    </row>
    <row r="47" spans="11:19" x14ac:dyDescent="0.25">
      <c r="K47" s="145"/>
      <c r="L47" s="104"/>
      <c r="M47" s="105"/>
      <c r="N47" s="102"/>
      <c r="O47" s="105"/>
      <c r="P47" s="106"/>
      <c r="Q47" s="106"/>
      <c r="R47" s="102"/>
      <c r="S47" s="102"/>
    </row>
    <row r="48" spans="11:19" x14ac:dyDescent="0.25">
      <c r="K48" s="145"/>
      <c r="L48" s="103"/>
      <c r="M48" s="107"/>
      <c r="N48" s="101"/>
      <c r="O48" s="107"/>
      <c r="P48" s="108"/>
      <c r="Q48" s="108"/>
      <c r="R48" s="101"/>
      <c r="S48" s="101"/>
    </row>
    <row r="49" spans="1:19" x14ac:dyDescent="0.25">
      <c r="B49" t="s">
        <v>39</v>
      </c>
      <c r="C49" t="s">
        <v>126</v>
      </c>
      <c r="D49" s="117">
        <v>0.97</v>
      </c>
      <c r="E49" s="118">
        <v>4.6296296296296294E-5</v>
      </c>
      <c r="G49">
        <v>224</v>
      </c>
      <c r="H49" s="118">
        <v>224</v>
      </c>
      <c r="I49" s="118">
        <v>4.7106481481481478E-3</v>
      </c>
      <c r="J49" s="118">
        <v>4.6296296296296294E-5</v>
      </c>
      <c r="K49" s="145"/>
      <c r="L49" s="104"/>
      <c r="M49" s="105"/>
      <c r="N49" s="102"/>
      <c r="O49" s="105"/>
      <c r="P49" s="106"/>
      <c r="Q49" s="106"/>
      <c r="R49" s="102"/>
      <c r="S49" s="102"/>
    </row>
    <row r="50" spans="1:19" x14ac:dyDescent="0.25">
      <c r="C50" t="s">
        <v>39</v>
      </c>
      <c r="D50" s="117">
        <v>0.97</v>
      </c>
      <c r="E50" s="118">
        <v>4.6296296296296294E-5</v>
      </c>
      <c r="G50">
        <v>224</v>
      </c>
      <c r="H50" s="118">
        <v>224</v>
      </c>
      <c r="I50" s="118">
        <v>4.7106481481481478E-3</v>
      </c>
      <c r="J50" s="118">
        <v>4.6296296296296294E-5</v>
      </c>
      <c r="K50" s="145"/>
      <c r="L50" s="103"/>
      <c r="M50" s="107"/>
      <c r="N50" s="101"/>
      <c r="O50" s="107"/>
      <c r="P50" s="108"/>
      <c r="Q50" s="108"/>
      <c r="R50" s="101"/>
      <c r="S50" s="101"/>
    </row>
    <row r="51" spans="1:19" x14ac:dyDescent="0.25">
      <c r="B51" t="s">
        <v>34</v>
      </c>
      <c r="C51" t="s">
        <v>126</v>
      </c>
      <c r="D51" s="117">
        <v>0.88</v>
      </c>
      <c r="E51" s="118">
        <v>1.8518518518518518E-4</v>
      </c>
      <c r="F51" s="117">
        <v>0.01</v>
      </c>
      <c r="G51">
        <v>838</v>
      </c>
      <c r="H51" s="118">
        <v>825</v>
      </c>
      <c r="I51" s="118">
        <v>4.5138888888888885E-3</v>
      </c>
      <c r="J51" s="118">
        <v>1.8518518518518518E-4</v>
      </c>
      <c r="K51" s="145"/>
      <c r="L51" s="103"/>
      <c r="M51" s="107"/>
      <c r="N51" s="101"/>
      <c r="O51" s="107"/>
      <c r="P51" s="108"/>
      <c r="Q51" s="108"/>
      <c r="R51" s="101"/>
      <c r="S51" s="101"/>
    </row>
    <row r="52" spans="1:19" x14ac:dyDescent="0.25">
      <c r="C52" t="s">
        <v>86</v>
      </c>
      <c r="D52" s="117">
        <v>0.8</v>
      </c>
      <c r="E52" s="118">
        <v>2.6620370370370372E-4</v>
      </c>
      <c r="F52" s="117">
        <v>0.02</v>
      </c>
      <c r="G52">
        <v>239</v>
      </c>
      <c r="H52" s="118">
        <v>232</v>
      </c>
      <c r="I52" s="118">
        <v>4.5717592592592589E-3</v>
      </c>
      <c r="J52" s="118">
        <v>2.7777777777777778E-4</v>
      </c>
      <c r="K52" s="145"/>
      <c r="L52" s="103"/>
      <c r="M52" s="107"/>
      <c r="N52" s="101"/>
      <c r="O52" s="107"/>
      <c r="P52" s="108"/>
      <c r="Q52" s="108"/>
      <c r="R52" s="101"/>
      <c r="S52" s="101"/>
    </row>
    <row r="53" spans="1:19" x14ac:dyDescent="0.25">
      <c r="C53" t="s">
        <v>129</v>
      </c>
      <c r="D53" s="117">
        <v>0.92</v>
      </c>
      <c r="E53" s="118">
        <v>9.2592592592592588E-5</v>
      </c>
      <c r="F53" s="117">
        <v>0.01</v>
      </c>
      <c r="G53">
        <v>599</v>
      </c>
      <c r="H53" s="118">
        <v>593</v>
      </c>
      <c r="I53" s="118">
        <v>4.4907407407407405E-3</v>
      </c>
      <c r="J53" s="118">
        <v>9.2592592592592588E-5</v>
      </c>
      <c r="K53" s="145"/>
      <c r="L53" s="103"/>
      <c r="M53" s="107"/>
      <c r="N53" s="101"/>
      <c r="O53" s="107"/>
      <c r="P53" s="108"/>
      <c r="Q53" s="108"/>
      <c r="R53" s="101"/>
      <c r="S53" s="101"/>
    </row>
    <row r="54" spans="1:19" x14ac:dyDescent="0.25">
      <c r="B54" t="s">
        <v>31</v>
      </c>
      <c r="C54" t="s">
        <v>126</v>
      </c>
      <c r="D54" s="117">
        <v>0.88</v>
      </c>
      <c r="E54" s="118">
        <v>1.1574074074074075E-4</v>
      </c>
      <c r="F54" s="117">
        <v>0.03</v>
      </c>
      <c r="G54">
        <v>1066</v>
      </c>
      <c r="H54" s="118">
        <v>1032</v>
      </c>
      <c r="I54" s="118">
        <v>5.9606481481481481E-3</v>
      </c>
      <c r="J54" s="118">
        <v>1.9675925925925926E-4</v>
      </c>
      <c r="K54" s="145"/>
      <c r="L54" s="103"/>
      <c r="M54" s="107"/>
      <c r="N54" s="101"/>
      <c r="O54" s="107"/>
      <c r="P54" s="108"/>
      <c r="Q54" s="108"/>
      <c r="R54" s="101"/>
      <c r="S54" s="101"/>
    </row>
    <row r="55" spans="1:19" x14ac:dyDescent="0.25">
      <c r="C55" t="s">
        <v>131</v>
      </c>
      <c r="D55" s="117">
        <v>0.9</v>
      </c>
      <c r="E55" s="118">
        <v>9.2592592592592588E-5</v>
      </c>
      <c r="F55" s="117">
        <v>0.02</v>
      </c>
      <c r="G55">
        <v>323</v>
      </c>
      <c r="H55" s="118">
        <v>317</v>
      </c>
      <c r="I55" s="118">
        <v>6.7824074074074071E-3</v>
      </c>
      <c r="J55" s="118">
        <v>1.7361111111111112E-4</v>
      </c>
      <c r="K55" s="146"/>
      <c r="L55" s="147"/>
      <c r="M55" s="105"/>
      <c r="N55" s="102"/>
      <c r="O55" s="105"/>
      <c r="P55" s="106"/>
      <c r="Q55" s="106"/>
      <c r="R55" s="102"/>
      <c r="S55" s="102"/>
    </row>
    <row r="56" spans="1:19" x14ac:dyDescent="0.25">
      <c r="C56" t="s">
        <v>132</v>
      </c>
      <c r="D56" s="117">
        <v>0.88</v>
      </c>
      <c r="E56" s="118">
        <v>1.3888888888888889E-4</v>
      </c>
      <c r="F56" s="117">
        <v>0.03</v>
      </c>
      <c r="G56">
        <v>743</v>
      </c>
      <c r="H56" s="118">
        <v>715</v>
      </c>
      <c r="I56" s="118">
        <v>5.6018518518518518E-3</v>
      </c>
      <c r="J56" s="118">
        <v>2.199074074074074E-4</v>
      </c>
    </row>
    <row r="57" spans="1:19" x14ac:dyDescent="0.25">
      <c r="A57" s="101"/>
      <c r="B57" s="101" t="s">
        <v>28</v>
      </c>
      <c r="C57" s="101" t="s">
        <v>126</v>
      </c>
      <c r="D57" s="119">
        <v>0.84</v>
      </c>
      <c r="E57" s="120">
        <v>1.7361111111111112E-4</v>
      </c>
      <c r="F57" s="119">
        <v>0.05</v>
      </c>
      <c r="G57" s="101">
        <v>1524</v>
      </c>
      <c r="H57" s="120">
        <v>1449</v>
      </c>
      <c r="I57" s="120">
        <v>4.7916666666666663E-3</v>
      </c>
      <c r="J57" s="118">
        <v>2.6620370370370372E-4</v>
      </c>
    </row>
    <row r="58" spans="1:19" x14ac:dyDescent="0.25">
      <c r="C58" t="s">
        <v>134</v>
      </c>
      <c r="D58" s="117">
        <v>0.71</v>
      </c>
      <c r="E58" s="118">
        <v>1.273148148148148E-4</v>
      </c>
      <c r="F58" s="117">
        <v>0.14000000000000001</v>
      </c>
      <c r="G58">
        <v>22</v>
      </c>
      <c r="H58" s="118">
        <v>17</v>
      </c>
      <c r="I58" s="118">
        <v>3.7615740740740739E-3</v>
      </c>
      <c r="J58" s="118">
        <v>2.5462962962962961E-4</v>
      </c>
    </row>
    <row r="59" spans="1:19" x14ac:dyDescent="0.25">
      <c r="C59" t="s">
        <v>136</v>
      </c>
      <c r="D59" s="117">
        <v>0.86</v>
      </c>
      <c r="E59" s="118">
        <v>1.9675925925925926E-4</v>
      </c>
      <c r="F59" s="117">
        <v>0.04</v>
      </c>
      <c r="G59">
        <v>860</v>
      </c>
      <c r="H59" s="118">
        <v>826</v>
      </c>
      <c r="I59" s="118">
        <v>4.7685185185185183E-3</v>
      </c>
      <c r="J59" s="118">
        <v>2.5462962962962961E-4</v>
      </c>
    </row>
    <row r="60" spans="1:19" x14ac:dyDescent="0.25">
      <c r="C60" t="s">
        <v>137</v>
      </c>
      <c r="D60" s="117">
        <v>0.83</v>
      </c>
      <c r="E60" s="118">
        <v>1.9675925925925926E-4</v>
      </c>
      <c r="F60" s="117">
        <v>0.06</v>
      </c>
      <c r="G60">
        <v>642</v>
      </c>
      <c r="H60" s="118">
        <v>606</v>
      </c>
      <c r="I60" s="118">
        <v>4.8726851851851848E-3</v>
      </c>
      <c r="J60" s="118">
        <v>2.8935185185185184E-4</v>
      </c>
    </row>
    <row r="61" spans="1:19" x14ac:dyDescent="0.25">
      <c r="B61" t="s">
        <v>44</v>
      </c>
      <c r="C61" t="s">
        <v>126</v>
      </c>
      <c r="D61" s="117">
        <v>0.89</v>
      </c>
      <c r="E61" s="118">
        <v>2.3148148148148149E-4</v>
      </c>
      <c r="F61" s="117">
        <v>0.02</v>
      </c>
      <c r="G61">
        <v>55</v>
      </c>
      <c r="H61" s="118">
        <v>54</v>
      </c>
      <c r="I61" s="118">
        <v>5.6018518518518518E-3</v>
      </c>
      <c r="J61" s="118">
        <v>2.6620370370370372E-4</v>
      </c>
    </row>
    <row r="62" spans="1:19" x14ac:dyDescent="0.25">
      <c r="C62" t="s">
        <v>79</v>
      </c>
      <c r="D62" s="117">
        <v>0.8</v>
      </c>
      <c r="E62" s="118">
        <v>9.3749999999999997E-4</v>
      </c>
      <c r="G62">
        <v>5</v>
      </c>
      <c r="H62" s="118">
        <v>5</v>
      </c>
      <c r="I62" s="118">
        <v>5.2430555555555555E-3</v>
      </c>
      <c r="J62" s="118">
        <v>9.3749999999999997E-4</v>
      </c>
    </row>
    <row r="63" spans="1:19" x14ac:dyDescent="0.25">
      <c r="C63" t="s">
        <v>80</v>
      </c>
      <c r="D63" s="117">
        <v>0.93</v>
      </c>
      <c r="E63" s="118">
        <v>4.6296296296296294E-5</v>
      </c>
      <c r="G63">
        <v>15</v>
      </c>
      <c r="H63" s="118">
        <v>15</v>
      </c>
      <c r="I63" s="118">
        <v>7.1527777777777779E-3</v>
      </c>
      <c r="J63" s="118">
        <v>4.6296296296296294E-5</v>
      </c>
    </row>
    <row r="64" spans="1:19" x14ac:dyDescent="0.25">
      <c r="C64" t="s">
        <v>81</v>
      </c>
      <c r="D64" s="117">
        <v>0.9</v>
      </c>
      <c r="E64" s="118">
        <v>2.199074074074074E-4</v>
      </c>
      <c r="G64">
        <v>21</v>
      </c>
      <c r="H64" s="118">
        <v>21</v>
      </c>
      <c r="I64" s="118">
        <v>4.8379629629629632E-3</v>
      </c>
      <c r="J64" s="118">
        <v>2.199074074074074E-4</v>
      </c>
    </row>
    <row r="65" spans="2:10" x14ac:dyDescent="0.25">
      <c r="C65" t="s">
        <v>82</v>
      </c>
      <c r="D65" s="117">
        <v>0.86</v>
      </c>
      <c r="E65" s="118">
        <v>8.1018518518518516E-5</v>
      </c>
      <c r="F65" s="117">
        <v>7.0000000000000007E-2</v>
      </c>
      <c r="G65">
        <v>14</v>
      </c>
      <c r="H65" s="118">
        <v>13</v>
      </c>
      <c r="I65" s="118">
        <v>5.2430555555555555E-3</v>
      </c>
      <c r="J65" s="118">
        <v>2.199074074074074E-4</v>
      </c>
    </row>
    <row r="66" spans="2:10" x14ac:dyDescent="0.25">
      <c r="B66" t="s">
        <v>37</v>
      </c>
      <c r="C66" t="s">
        <v>126</v>
      </c>
      <c r="D66" s="117">
        <v>0.79</v>
      </c>
      <c r="E66" s="118">
        <v>2.199074074074074E-4</v>
      </c>
      <c r="F66" s="117">
        <v>0.04</v>
      </c>
      <c r="G66">
        <v>153</v>
      </c>
      <c r="H66" s="118">
        <v>145</v>
      </c>
      <c r="I66" s="118">
        <v>4.7569444444444447E-3</v>
      </c>
      <c r="J66" s="118">
        <v>2.3148148148148149E-4</v>
      </c>
    </row>
    <row r="67" spans="2:10" x14ac:dyDescent="0.25">
      <c r="C67" t="s">
        <v>37</v>
      </c>
      <c r="D67" s="117">
        <v>0.79</v>
      </c>
      <c r="E67" s="118">
        <v>2.199074074074074E-4</v>
      </c>
      <c r="F67" s="117">
        <v>0.04</v>
      </c>
      <c r="G67">
        <v>153</v>
      </c>
      <c r="H67" s="118">
        <v>145</v>
      </c>
      <c r="I67" s="118">
        <v>4.7569444444444447E-3</v>
      </c>
      <c r="J67" s="118">
        <v>2.3148148148148149E-4</v>
      </c>
    </row>
    <row r="68" spans="2:10" x14ac:dyDescent="0.25">
      <c r="B68" t="s">
        <v>43</v>
      </c>
      <c r="C68" t="s">
        <v>126</v>
      </c>
      <c r="D68" s="117">
        <v>0.85</v>
      </c>
      <c r="E68" s="118">
        <v>1.9675925925925926E-4</v>
      </c>
      <c r="F68" s="117">
        <v>0.02</v>
      </c>
      <c r="G68">
        <v>59</v>
      </c>
      <c r="H68" s="118">
        <v>58</v>
      </c>
      <c r="I68" s="118">
        <v>1.1539351851851851E-2</v>
      </c>
      <c r="J68" s="118">
        <v>1.9675925925925926E-4</v>
      </c>
    </row>
    <row r="69" spans="2:10" x14ac:dyDescent="0.25">
      <c r="C69" t="s">
        <v>43</v>
      </c>
      <c r="D69" s="117">
        <v>0.85</v>
      </c>
      <c r="E69" s="118">
        <v>1.9675925925925926E-4</v>
      </c>
      <c r="F69" s="117">
        <v>0.02</v>
      </c>
      <c r="G69">
        <v>59</v>
      </c>
      <c r="H69" s="118">
        <v>58</v>
      </c>
      <c r="I69" s="118">
        <v>1.1539351851851851E-2</v>
      </c>
      <c r="J69" s="118">
        <v>1.9675925925925926E-4</v>
      </c>
    </row>
    <row r="70" spans="2:10" x14ac:dyDescent="0.25">
      <c r="B70" t="s">
        <v>138</v>
      </c>
      <c r="C70" t="s">
        <v>126</v>
      </c>
      <c r="D70" s="117">
        <v>0.92</v>
      </c>
      <c r="E70" s="118">
        <v>1.8518518518518518E-4</v>
      </c>
      <c r="F70" s="117">
        <v>0.01</v>
      </c>
      <c r="G70">
        <v>971</v>
      </c>
      <c r="H70" s="118">
        <v>966</v>
      </c>
      <c r="I70" s="118">
        <v>4.9884259259259257E-3</v>
      </c>
      <c r="J70" s="118">
        <v>1.8518518518518518E-4</v>
      </c>
    </row>
    <row r="71" spans="2:10" x14ac:dyDescent="0.25">
      <c r="C71" t="s">
        <v>138</v>
      </c>
      <c r="D71" s="117">
        <v>0.92</v>
      </c>
      <c r="E71" s="118">
        <v>1.8518518518518518E-4</v>
      </c>
      <c r="F71" s="117">
        <v>0.01</v>
      </c>
      <c r="G71">
        <v>971</v>
      </c>
      <c r="H71" s="118">
        <v>966</v>
      </c>
      <c r="I71" s="118">
        <v>4.9884259259259257E-3</v>
      </c>
      <c r="J71" s="118">
        <v>1.8518518518518518E-4</v>
      </c>
    </row>
    <row r="72" spans="2:10" x14ac:dyDescent="0.25">
      <c r="B72" t="s">
        <v>126</v>
      </c>
      <c r="D72" s="117">
        <v>0.88</v>
      </c>
      <c r="E72" s="118">
        <v>1.7361111111111112E-4</v>
      </c>
      <c r="F72" s="117">
        <v>0.03</v>
      </c>
      <c r="G72">
        <v>4890</v>
      </c>
      <c r="H72" s="118">
        <v>4753</v>
      </c>
      <c r="I72" s="118">
        <v>5.1273148148148146E-3</v>
      </c>
      <c r="J72" s="118">
        <v>2.199074074074074E-4</v>
      </c>
    </row>
  </sheetData>
  <mergeCells count="17">
    <mergeCell ref="K55:L55"/>
    <mergeCell ref="K43:K44"/>
    <mergeCell ref="K38:K40"/>
    <mergeCell ref="K35:K37"/>
    <mergeCell ref="K31:K34"/>
    <mergeCell ref="K49:K54"/>
    <mergeCell ref="K41:K42"/>
    <mergeCell ref="K47:K48"/>
    <mergeCell ref="K45:K46"/>
    <mergeCell ref="A14:A15"/>
    <mergeCell ref="A9:A11"/>
    <mergeCell ref="A6:A8"/>
    <mergeCell ref="A2:A5"/>
    <mergeCell ref="A20:A24"/>
    <mergeCell ref="A12:A13"/>
    <mergeCell ref="A18:A19"/>
    <mergeCell ref="A16:A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1DBF-8C83-4359-85E3-474DCE5A78A2}">
  <dimension ref="C2:AH69"/>
  <sheetViews>
    <sheetView showGridLines="0" topLeftCell="N1" zoomScale="70" zoomScaleNormal="100" workbookViewId="0">
      <selection activeCell="V24" sqref="V24:Z31"/>
    </sheetView>
  </sheetViews>
  <sheetFormatPr defaultRowHeight="15" x14ac:dyDescent="0.25"/>
  <cols>
    <col min="3" max="3" width="19.7109375" customWidth="1"/>
    <col min="4" max="4" width="6" customWidth="1"/>
    <col min="5" max="5" width="5.7109375" customWidth="1"/>
    <col min="6" max="6" width="3.7109375" customWidth="1"/>
    <col min="7" max="7" width="8.85546875" customWidth="1"/>
    <col min="8" max="8" width="5.5703125" customWidth="1"/>
    <col min="9" max="9" width="15.28515625" customWidth="1"/>
    <col min="10" max="10" width="5.28515625" hidden="1" customWidth="1"/>
    <col min="11" max="11" width="5.42578125" customWidth="1"/>
    <col min="12" max="12" width="7.140625" customWidth="1"/>
    <col min="13" max="13" width="8.28515625" customWidth="1"/>
    <col min="14" max="14" width="5.42578125" customWidth="1"/>
    <col min="15" max="15" width="6.140625" customWidth="1"/>
    <col min="16" max="16" width="8.7109375" customWidth="1"/>
    <col min="17" max="17" width="15.42578125" customWidth="1"/>
    <col min="19" max="20" width="39.28515625" customWidth="1"/>
    <col min="22" max="22" width="14.85546875" bestFit="1" customWidth="1"/>
    <col min="23" max="23" width="17.28515625" bestFit="1" customWidth="1"/>
    <col min="24" max="24" width="18.5703125" bestFit="1" customWidth="1"/>
    <col min="25" max="25" width="27.85546875" bestFit="1" customWidth="1"/>
    <col min="26" max="26" width="26" bestFit="1" customWidth="1"/>
    <col min="27" max="27" width="24" bestFit="1" customWidth="1"/>
    <col min="28" max="28" width="19" bestFit="1" customWidth="1"/>
    <col min="29" max="29" width="17" bestFit="1" customWidth="1"/>
    <col min="30" max="30" width="18.42578125" bestFit="1" customWidth="1"/>
    <col min="31" max="31" width="16.140625" bestFit="1" customWidth="1"/>
    <col min="32" max="32" width="13.7109375" bestFit="1" customWidth="1"/>
    <col min="33" max="33" width="16.7109375" bestFit="1" customWidth="1"/>
    <col min="34" max="34" width="11.28515625" bestFit="1" customWidth="1"/>
  </cols>
  <sheetData>
    <row r="2" spans="3:33" x14ac:dyDescent="0.25">
      <c r="C2" s="3" t="s">
        <v>23</v>
      </c>
      <c r="D2" s="6"/>
      <c r="E2" s="4" t="s">
        <v>24</v>
      </c>
      <c r="F2" s="4"/>
      <c r="G2" s="4" t="s">
        <v>13</v>
      </c>
      <c r="H2" s="4"/>
      <c r="I2" s="90" t="s">
        <v>14</v>
      </c>
      <c r="J2" s="4"/>
      <c r="K2" s="142" t="s">
        <v>16</v>
      </c>
      <c r="L2" s="143"/>
      <c r="M2" s="144"/>
      <c r="N2" s="142" t="s">
        <v>19</v>
      </c>
      <c r="O2" s="143"/>
      <c r="P2" s="144"/>
      <c r="Q2" s="5" t="s">
        <v>25</v>
      </c>
      <c r="R2" s="138" t="s">
        <v>26</v>
      </c>
      <c r="S2" s="139"/>
      <c r="T2" s="111"/>
      <c r="V2" s="71"/>
      <c r="W2" s="71" t="s">
        <v>100</v>
      </c>
      <c r="X2" s="71"/>
      <c r="Y2" s="71"/>
      <c r="Z2" s="71"/>
      <c r="AA2" s="71"/>
      <c r="AB2" s="71"/>
      <c r="AC2" s="71"/>
      <c r="AD2" s="71"/>
      <c r="AE2" s="71"/>
      <c r="AF2" s="71"/>
      <c r="AG2" s="71"/>
    </row>
    <row r="3" spans="3:33" x14ac:dyDescent="0.25">
      <c r="C3" s="136" t="s">
        <v>27</v>
      </c>
      <c r="D3" s="141"/>
      <c r="E3" s="141"/>
      <c r="F3" s="141"/>
      <c r="G3" s="141"/>
      <c r="H3" s="141"/>
      <c r="I3" s="141"/>
      <c r="J3" s="141"/>
      <c r="K3" s="141"/>
      <c r="L3" s="141"/>
      <c r="M3" s="141"/>
      <c r="N3" s="141"/>
      <c r="O3" s="141"/>
      <c r="P3" s="141"/>
      <c r="Q3" s="141"/>
      <c r="R3" s="141"/>
      <c r="S3" s="141"/>
      <c r="T3" s="112"/>
      <c r="V3" s="67" t="s">
        <v>88</v>
      </c>
      <c r="W3" s="67" t="s">
        <v>101</v>
      </c>
      <c r="X3" s="67" t="s">
        <v>102</v>
      </c>
      <c r="Y3" s="67" t="s">
        <v>103</v>
      </c>
      <c r="Z3" s="67" t="s">
        <v>104</v>
      </c>
      <c r="AA3" s="67" t="s">
        <v>105</v>
      </c>
      <c r="AB3" s="67" t="s">
        <v>106</v>
      </c>
      <c r="AC3" s="67" t="s">
        <v>107</v>
      </c>
      <c r="AD3" s="67" t="s">
        <v>108</v>
      </c>
      <c r="AE3" s="67" t="s">
        <v>109</v>
      </c>
      <c r="AF3" s="67" t="s">
        <v>110</v>
      </c>
      <c r="AG3" s="67" t="s">
        <v>92</v>
      </c>
    </row>
    <row r="4" spans="3:33" x14ac:dyDescent="0.25">
      <c r="C4" s="9" t="s">
        <v>28</v>
      </c>
      <c r="D4" s="10">
        <f>AA34</f>
        <v>0.83799404730735572</v>
      </c>
      <c r="E4" s="11">
        <f>AA34</f>
        <v>0.83799404730735572</v>
      </c>
      <c r="F4" s="14">
        <f>AB34</f>
        <v>19</v>
      </c>
      <c r="G4" s="39" t="str">
        <f>AB34&amp;"s"</f>
        <v>19s</v>
      </c>
      <c r="H4" s="16">
        <f>I4</f>
        <v>4.5999999999999999E-2</v>
      </c>
      <c r="I4" s="89">
        <f>AC34</f>
        <v>4.5999999999999999E-2</v>
      </c>
      <c r="J4" s="81">
        <f>X47</f>
        <v>0.18671433863324452</v>
      </c>
      <c r="K4" s="79">
        <f>J4</f>
        <v>0.18671433863324452</v>
      </c>
      <c r="L4" s="22">
        <f>X47</f>
        <v>0.18671433863324452</v>
      </c>
      <c r="M4" s="24">
        <f>X34</f>
        <v>1816</v>
      </c>
      <c r="N4" s="27">
        <f>Z47</f>
        <v>0.22352941176470606</v>
      </c>
      <c r="O4" s="42">
        <f>Z47</f>
        <v>0.22352941176470606</v>
      </c>
      <c r="P4" s="28" t="str">
        <f>AH34</f>
        <v>6m 56s</v>
      </c>
      <c r="Q4" s="8" t="s">
        <v>29</v>
      </c>
      <c r="R4" s="135" t="s">
        <v>30</v>
      </c>
      <c r="S4" s="135"/>
      <c r="T4" s="109"/>
      <c r="V4" s="68" t="s">
        <v>93</v>
      </c>
      <c r="W4" s="1">
        <v>3.9533450956082143</v>
      </c>
      <c r="X4" s="1">
        <v>54.365461088461899</v>
      </c>
      <c r="Y4" s="1">
        <v>51.111345276050507</v>
      </c>
      <c r="Z4" s="1">
        <v>102.10043472078696</v>
      </c>
      <c r="AA4" s="1">
        <v>53.21194048814538</v>
      </c>
      <c r="AB4" s="1">
        <v>226.66196739747431</v>
      </c>
      <c r="AC4" s="1">
        <v>121.79202386444173</v>
      </c>
      <c r="AD4" s="1">
        <v>23.90031488458763</v>
      </c>
      <c r="AE4" s="1">
        <v>169.89482386998679</v>
      </c>
      <c r="AF4" s="1">
        <v>130.28179810042269</v>
      </c>
      <c r="AG4" s="1">
        <v>937.27345478596612</v>
      </c>
    </row>
    <row r="5" spans="3:33" x14ac:dyDescent="0.25">
      <c r="C5" s="9" t="s">
        <v>31</v>
      </c>
      <c r="D5" s="10">
        <f t="shared" ref="D5:D8" si="0">AA35</f>
        <v>0.88415373244641537</v>
      </c>
      <c r="E5" s="11">
        <f t="shared" ref="E5:F8" si="1">AA35</f>
        <v>0.88415373244641537</v>
      </c>
      <c r="F5" s="14">
        <f t="shared" si="1"/>
        <v>10.999999999999998</v>
      </c>
      <c r="G5" s="39" t="str">
        <f>AB35&amp;"s"</f>
        <v>11s</v>
      </c>
      <c r="H5" s="16">
        <f t="shared" ref="H5:H12" si="2">I5</f>
        <v>3.0000000000000002E-2</v>
      </c>
      <c r="I5" s="89">
        <f t="shared" ref="I5:I8" si="3">AC35</f>
        <v>3.0000000000000002E-2</v>
      </c>
      <c r="J5" s="17">
        <f t="shared" ref="J5:J8" si="4">X48</f>
        <v>4.69035257916822E-2</v>
      </c>
      <c r="K5" s="42">
        <f>J5</f>
        <v>4.69035257916822E-2</v>
      </c>
      <c r="L5" s="22">
        <f t="shared" ref="L5:L8" si="5">X48</f>
        <v>4.69035257916822E-2</v>
      </c>
      <c r="M5" s="24">
        <f t="shared" ref="M5:M8" si="6">X35</f>
        <v>1233</v>
      </c>
      <c r="N5" s="27">
        <f t="shared" ref="N5:N8" si="7">Z48</f>
        <v>0.23809523809523808</v>
      </c>
      <c r="O5" s="42">
        <f t="shared" ref="O5:O8" si="8">Z48</f>
        <v>0.23809523809523808</v>
      </c>
      <c r="P5" s="28" t="str">
        <f t="shared" ref="P5:P8" si="9">AH35</f>
        <v>8m 40s</v>
      </c>
      <c r="Q5" s="8" t="s">
        <v>32</v>
      </c>
      <c r="R5" s="135" t="s">
        <v>33</v>
      </c>
      <c r="S5" s="135"/>
      <c r="T5" s="109"/>
      <c r="V5" s="68" t="s">
        <v>94</v>
      </c>
      <c r="W5" s="1">
        <v>3.9537504172428508</v>
      </c>
      <c r="X5" s="1">
        <v>47.893580748072914</v>
      </c>
      <c r="Y5" s="1">
        <v>40.888886547239366</v>
      </c>
      <c r="Z5" s="1">
        <v>86.257257562787458</v>
      </c>
      <c r="AA5" s="1">
        <v>66.515117628419731</v>
      </c>
      <c r="AB5" s="1">
        <v>218.14861349138604</v>
      </c>
      <c r="AC5" s="1">
        <v>109.74223985591711</v>
      </c>
      <c r="AD5" s="1">
        <v>20.22344972048041</v>
      </c>
      <c r="AE5" s="1">
        <v>159.59275352128756</v>
      </c>
      <c r="AF5" s="1">
        <v>141.93820383509939</v>
      </c>
      <c r="AG5" s="1">
        <v>895.15385332793289</v>
      </c>
    </row>
    <row r="6" spans="3:33" x14ac:dyDescent="0.25">
      <c r="C6" s="9" t="s">
        <v>34</v>
      </c>
      <c r="D6" s="10">
        <f t="shared" si="0"/>
        <v>0.89605796005796001</v>
      </c>
      <c r="E6" s="11">
        <f t="shared" si="1"/>
        <v>0.89605796005796001</v>
      </c>
      <c r="F6" s="14">
        <f t="shared" si="1"/>
        <v>14</v>
      </c>
      <c r="G6" s="39" t="str">
        <f t="shared" ref="G6:G8" si="10">AB36&amp;"s"</f>
        <v>14s</v>
      </c>
      <c r="H6" s="16">
        <f t="shared" si="2"/>
        <v>1.0999999999999999E-2</v>
      </c>
      <c r="I6" s="89">
        <f t="shared" si="3"/>
        <v>1.0999999999999999E-2</v>
      </c>
      <c r="J6" s="17">
        <f t="shared" si="4"/>
        <v>0.87346334527275848</v>
      </c>
      <c r="K6" s="42">
        <f>J6</f>
        <v>0.87346334527275848</v>
      </c>
      <c r="L6" s="22">
        <f t="shared" si="5"/>
        <v>0.87346334527275848</v>
      </c>
      <c r="M6" s="24">
        <f t="shared" si="6"/>
        <v>978</v>
      </c>
      <c r="N6" s="27">
        <f t="shared" si="7"/>
        <v>-0.23529411764705893</v>
      </c>
      <c r="O6" s="42">
        <f t="shared" si="8"/>
        <v>-0.23529411764705893</v>
      </c>
      <c r="P6" s="28" t="str">
        <f t="shared" si="9"/>
        <v>6m 30s</v>
      </c>
      <c r="Q6" s="8" t="s">
        <v>29</v>
      </c>
      <c r="R6" s="135" t="s">
        <v>35</v>
      </c>
      <c r="S6" s="135"/>
      <c r="T6" s="109"/>
      <c r="V6" s="68" t="s">
        <v>95</v>
      </c>
      <c r="W6" s="1">
        <v>3.9532640312812841</v>
      </c>
      <c r="X6" s="1">
        <v>50.482105671156468</v>
      </c>
      <c r="Y6" s="1">
        <v>36.629291651566717</v>
      </c>
      <c r="Z6" s="1">
        <v>84.555577606159503</v>
      </c>
      <c r="AA6" s="1">
        <v>61.963978159650189</v>
      </c>
      <c r="AB6" s="1">
        <v>212.8272830242484</v>
      </c>
      <c r="AC6" s="1">
        <v>108.02027652214647</v>
      </c>
      <c r="AD6" s="1">
        <v>20.590794216461056</v>
      </c>
      <c r="AE6" s="1">
        <v>151.3879987641217</v>
      </c>
      <c r="AF6" s="1">
        <v>140.56618780405731</v>
      </c>
      <c r="AG6" s="1">
        <v>870.97675745084916</v>
      </c>
    </row>
    <row r="7" spans="3:33" s="74" customFormat="1" ht="19.5" customHeight="1" x14ac:dyDescent="0.25">
      <c r="C7" s="72" t="s">
        <v>36</v>
      </c>
      <c r="D7" s="10">
        <f t="shared" si="0"/>
        <v>0.8065033914979548</v>
      </c>
      <c r="E7" s="11">
        <f t="shared" si="1"/>
        <v>0.8065033914979548</v>
      </c>
      <c r="F7" s="14">
        <f t="shared" si="1"/>
        <v>18</v>
      </c>
      <c r="G7" s="39" t="str">
        <f t="shared" si="10"/>
        <v>18s</v>
      </c>
      <c r="H7" s="16">
        <f t="shared" si="2"/>
        <v>3.4000000000000002E-2</v>
      </c>
      <c r="I7" s="89">
        <f t="shared" si="3"/>
        <v>3.4000000000000002E-2</v>
      </c>
      <c r="J7" s="17">
        <f t="shared" si="4"/>
        <v>1.0270552353948312</v>
      </c>
      <c r="K7" s="80">
        <f>J7</f>
        <v>1.0270552353948312</v>
      </c>
      <c r="L7" s="22">
        <f t="shared" si="5"/>
        <v>1.0270552353948312</v>
      </c>
      <c r="M7" s="24">
        <f t="shared" si="6"/>
        <v>180</v>
      </c>
      <c r="N7" s="26">
        <f t="shared" si="7"/>
        <v>0.30937500000000001</v>
      </c>
      <c r="O7" s="42">
        <f t="shared" si="8"/>
        <v>0.30937500000000001</v>
      </c>
      <c r="P7" s="19" t="str">
        <f t="shared" si="9"/>
        <v>6m 59s</v>
      </c>
      <c r="Q7" s="73" t="s">
        <v>32</v>
      </c>
      <c r="R7" s="140" t="s">
        <v>37</v>
      </c>
      <c r="S7" s="140"/>
      <c r="T7" s="110"/>
      <c r="V7" s="68" t="s">
        <v>96</v>
      </c>
      <c r="W7" s="1">
        <v>4.3490200753421302</v>
      </c>
      <c r="X7" s="1">
        <v>47.893580748072907</v>
      </c>
      <c r="Y7" s="1">
        <v>40.037062404905384</v>
      </c>
      <c r="Z7" s="1">
        <v>80.271928351316518</v>
      </c>
      <c r="AA7" s="1">
        <v>61.613813700911194</v>
      </c>
      <c r="AB7" s="1">
        <v>215.48832491679812</v>
      </c>
      <c r="AC7" s="1">
        <v>101.99572880726407</v>
      </c>
      <c r="AD7" s="1">
        <v>16.914292903875182</v>
      </c>
      <c r="AE7" s="1">
        <v>150.64759524003517</v>
      </c>
      <c r="AF7" s="1">
        <v>138.509946588795</v>
      </c>
      <c r="AG7" s="1">
        <v>857.72129373731559</v>
      </c>
    </row>
    <row r="8" spans="3:33" ht="19.5" customHeight="1" x14ac:dyDescent="0.25">
      <c r="C8" s="9" t="s">
        <v>38</v>
      </c>
      <c r="D8" s="10">
        <f t="shared" si="0"/>
        <v>0.96113074204946991</v>
      </c>
      <c r="E8" s="11">
        <f t="shared" si="1"/>
        <v>0.96113074204946991</v>
      </c>
      <c r="F8" s="14">
        <f t="shared" si="1"/>
        <v>5</v>
      </c>
      <c r="G8" s="39" t="str">
        <f t="shared" si="10"/>
        <v>5s</v>
      </c>
      <c r="H8" s="16">
        <f t="shared" si="2"/>
        <v>8.0000000000000002E-3</v>
      </c>
      <c r="I8" s="89">
        <f t="shared" si="3"/>
        <v>8.0000000000000002E-3</v>
      </c>
      <c r="J8" s="17">
        <f t="shared" si="4"/>
        <v>0.41052350438174701</v>
      </c>
      <c r="K8" s="18">
        <f>J8</f>
        <v>0.41052350438174701</v>
      </c>
      <c r="L8" s="20">
        <f t="shared" si="5"/>
        <v>0.41052350438174701</v>
      </c>
      <c r="M8" s="21">
        <f t="shared" si="6"/>
        <v>283</v>
      </c>
      <c r="N8" s="26">
        <f t="shared" si="7"/>
        <v>4.1025641025641026E-2</v>
      </c>
      <c r="O8" s="42">
        <f t="shared" si="8"/>
        <v>4.1025641025641026E-2</v>
      </c>
      <c r="P8" s="19" t="str">
        <f t="shared" si="9"/>
        <v>6m 46s</v>
      </c>
      <c r="Q8" s="8" t="s">
        <v>32</v>
      </c>
      <c r="R8" s="135" t="s">
        <v>39</v>
      </c>
      <c r="S8" s="135"/>
      <c r="T8" s="109"/>
      <c r="V8" s="68" t="s">
        <v>97</v>
      </c>
      <c r="W8" s="1">
        <v>3.162886843736584</v>
      </c>
      <c r="X8" s="1">
        <v>54.365271744235166</v>
      </c>
      <c r="Y8" s="1">
        <v>38.333414120237329</v>
      </c>
      <c r="Z8" s="1">
        <v>74.638758397706951</v>
      </c>
      <c r="AA8" s="1">
        <v>51.111568194072873</v>
      </c>
      <c r="AB8" s="1">
        <v>226.12947921514979</v>
      </c>
      <c r="AC8" s="1">
        <v>92.097753423365234</v>
      </c>
      <c r="AD8" s="1">
        <v>18.201235734980045</v>
      </c>
      <c r="AE8" s="1">
        <v>141.3942321264405</v>
      </c>
      <c r="AF8" s="1">
        <v>126.16727814841136</v>
      </c>
      <c r="AG8" s="1">
        <v>825.60187794833575</v>
      </c>
    </row>
    <row r="9" spans="3:33" x14ac:dyDescent="0.25">
      <c r="C9" s="136" t="s">
        <v>40</v>
      </c>
      <c r="D9" s="137"/>
      <c r="E9" s="137"/>
      <c r="F9" s="137"/>
      <c r="G9" s="137"/>
      <c r="H9" s="137"/>
      <c r="I9" s="137"/>
      <c r="J9" s="137"/>
      <c r="K9" s="137"/>
      <c r="L9" s="137"/>
      <c r="M9" s="137"/>
      <c r="N9" s="137"/>
      <c r="O9" s="137"/>
      <c r="P9" s="137"/>
      <c r="Q9" s="137"/>
      <c r="R9" s="137"/>
      <c r="S9" s="137"/>
      <c r="T9" s="112"/>
      <c r="V9" s="68" t="s">
        <v>98</v>
      </c>
      <c r="W9" s="1">
        <v>7.9066901912164269</v>
      </c>
      <c r="X9" s="1"/>
      <c r="Y9" s="1"/>
      <c r="Z9" s="1">
        <v>5.8681120413980402E-2</v>
      </c>
      <c r="AA9" s="1">
        <v>0.2334941773561155</v>
      </c>
      <c r="AB9" s="1">
        <v>35.205669255748639</v>
      </c>
      <c r="AC9" s="1">
        <v>22.378637551418606</v>
      </c>
      <c r="AD9" s="1">
        <v>3.4930473755083691</v>
      </c>
      <c r="AE9" s="1">
        <v>90.313903743822621</v>
      </c>
      <c r="AF9" s="1">
        <v>82.28275833465166</v>
      </c>
      <c r="AG9" s="1">
        <v>241.8728817501364</v>
      </c>
    </row>
    <row r="10" spans="3:33" x14ac:dyDescent="0.25">
      <c r="C10" s="9" t="s">
        <v>40</v>
      </c>
      <c r="D10" s="10">
        <f>AA39</f>
        <v>0.92167834132454307</v>
      </c>
      <c r="E10" s="12">
        <f>AA39</f>
        <v>0.92167834132454307</v>
      </c>
      <c r="F10" s="14">
        <f>AB39</f>
        <v>14</v>
      </c>
      <c r="G10" s="39" t="str">
        <f>AB39&amp;"s"</f>
        <v>14s</v>
      </c>
      <c r="H10" s="16">
        <f t="shared" si="2"/>
        <v>4.0000000000000001E-3</v>
      </c>
      <c r="I10" s="89">
        <f>AC39</f>
        <v>4.0000000000000001E-3</v>
      </c>
      <c r="J10" s="17">
        <f>X52</f>
        <v>0.42687025950702717</v>
      </c>
      <c r="K10" s="75">
        <f>J10</f>
        <v>0.42687025950702717</v>
      </c>
      <c r="L10" s="22">
        <f>X52</f>
        <v>0.42687025950702717</v>
      </c>
      <c r="M10" s="21">
        <f>X39</f>
        <v>1137</v>
      </c>
      <c r="N10" s="26">
        <f>Z52</f>
        <v>1.6666666666666666E-2</v>
      </c>
      <c r="O10" s="42">
        <f>Z52</f>
        <v>1.6666666666666666E-2</v>
      </c>
      <c r="P10" s="28" t="str">
        <f>AH39</f>
        <v>7m 07s</v>
      </c>
      <c r="Q10" s="8" t="s">
        <v>29</v>
      </c>
      <c r="R10" s="135" t="s">
        <v>41</v>
      </c>
      <c r="S10" s="135"/>
      <c r="T10" s="109"/>
      <c r="V10" s="68" t="s">
        <v>99</v>
      </c>
      <c r="W10" s="1">
        <v>6.7210433455724425</v>
      </c>
      <c r="X10" s="1"/>
      <c r="Y10" s="1"/>
      <c r="Z10" s="1">
        <v>0.1173622408279608</v>
      </c>
      <c r="AA10" s="1">
        <v>0.35008765144380782</v>
      </c>
      <c r="AB10" s="1">
        <v>25.53866269919202</v>
      </c>
      <c r="AC10" s="1">
        <v>27.973339975445757</v>
      </c>
      <c r="AD10" s="1">
        <v>3.6768651641072356</v>
      </c>
      <c r="AE10" s="1">
        <v>74.768692734304111</v>
      </c>
      <c r="AF10" s="1">
        <v>69.253827188561189</v>
      </c>
      <c r="AG10" s="1">
        <v>208.39988099945452</v>
      </c>
    </row>
    <row r="11" spans="3:33" ht="22.5" customHeight="1" x14ac:dyDescent="0.25">
      <c r="C11" s="9" t="s">
        <v>42</v>
      </c>
      <c r="D11" s="10">
        <f t="shared" ref="D11:D12" si="11">AA40</f>
        <v>0.85135135135135132</v>
      </c>
      <c r="E11" s="12">
        <f t="shared" ref="E11:F12" si="12">AA40</f>
        <v>0.85135135135135132</v>
      </c>
      <c r="F11" s="14">
        <f t="shared" si="12"/>
        <v>15</v>
      </c>
      <c r="G11" s="39" t="str">
        <f>AB40&amp;"s"</f>
        <v>15s</v>
      </c>
      <c r="H11" s="16">
        <f t="shared" si="2"/>
        <v>2.8000000000000001E-2</v>
      </c>
      <c r="I11" s="89">
        <f>AC40</f>
        <v>2.8000000000000001E-2</v>
      </c>
      <c r="J11" s="17">
        <f>X53</f>
        <v>0.18097672610845439</v>
      </c>
      <c r="K11" s="75">
        <f>J11</f>
        <v>0.18097672610845439</v>
      </c>
      <c r="L11" s="22">
        <f>X53</f>
        <v>0.18097672610845439</v>
      </c>
      <c r="M11" s="21">
        <f>X40</f>
        <v>74</v>
      </c>
      <c r="N11" s="26">
        <f>Z53</f>
        <v>0.58499999999999996</v>
      </c>
      <c r="O11" s="42">
        <f>Z53</f>
        <v>0.58499999999999996</v>
      </c>
      <c r="P11" s="28" t="str">
        <f>AH40</f>
        <v>15m 51s</v>
      </c>
      <c r="Q11" s="8" t="s">
        <v>29</v>
      </c>
      <c r="R11" s="135" t="s">
        <v>43</v>
      </c>
      <c r="S11" s="135"/>
      <c r="T11" s="109"/>
      <c r="V11" s="69"/>
      <c r="W11" s="70">
        <v>33.999999999999929</v>
      </c>
      <c r="X11" s="70">
        <v>254.99999999999935</v>
      </c>
      <c r="Y11" s="70">
        <v>206.99999999999932</v>
      </c>
      <c r="Z11" s="70">
        <v>427.99999999999937</v>
      </c>
      <c r="AA11" s="70">
        <v>294.99999999999926</v>
      </c>
      <c r="AB11" s="70">
        <v>1159.9999999999973</v>
      </c>
      <c r="AC11" s="70">
        <v>583.99999999999898</v>
      </c>
      <c r="AD11" s="70">
        <v>106.99999999999993</v>
      </c>
      <c r="AE11" s="70">
        <v>937.99999999999852</v>
      </c>
      <c r="AF11" s="70">
        <v>828.99999999999864</v>
      </c>
      <c r="AG11" s="70">
        <v>4836.99999999999</v>
      </c>
    </row>
    <row r="12" spans="3:33" ht="23.25" customHeight="1" x14ac:dyDescent="0.25">
      <c r="C12" s="9" t="s">
        <v>44</v>
      </c>
      <c r="D12" s="10">
        <f t="shared" si="11"/>
        <v>0.86111111111111116</v>
      </c>
      <c r="E12" s="12">
        <f t="shared" si="12"/>
        <v>0.86111111111111116</v>
      </c>
      <c r="F12" s="14">
        <f t="shared" si="12"/>
        <v>21</v>
      </c>
      <c r="G12" s="39" t="str">
        <f>AB41&amp;"s"</f>
        <v>21s</v>
      </c>
      <c r="H12" s="16">
        <f t="shared" si="2"/>
        <v>1.3999999999999999E-2</v>
      </c>
      <c r="I12" s="89">
        <f>AC41</f>
        <v>1.3999999999999999E-2</v>
      </c>
      <c r="J12" s="17">
        <f>X54</f>
        <v>0.356628646323494</v>
      </c>
      <c r="K12" s="23">
        <f>J12</f>
        <v>0.356628646323494</v>
      </c>
      <c r="L12" s="20">
        <f>X54</f>
        <v>0.356628646323494</v>
      </c>
      <c r="M12" s="21">
        <f>X41</f>
        <v>72</v>
      </c>
      <c r="N12" s="26">
        <f>Z54</f>
        <v>-2.696629213483159E-2</v>
      </c>
      <c r="O12" s="42">
        <f>Z54</f>
        <v>-2.696629213483159E-2</v>
      </c>
      <c r="P12" s="19" t="str">
        <f>AH41</f>
        <v>7m 13s</v>
      </c>
      <c r="Q12" s="8" t="s">
        <v>45</v>
      </c>
      <c r="R12" s="135" t="s">
        <v>46</v>
      </c>
      <c r="S12" s="135"/>
      <c r="T12" s="109"/>
    </row>
    <row r="13" spans="3:33" x14ac:dyDescent="0.25">
      <c r="V13" s="67" t="s">
        <v>88</v>
      </c>
      <c r="W13" s="67" t="s">
        <v>111</v>
      </c>
      <c r="X13" s="67" t="s">
        <v>112</v>
      </c>
      <c r="Y13" s="67" t="s">
        <v>113</v>
      </c>
      <c r="Z13" s="67" t="s">
        <v>114</v>
      </c>
      <c r="AA13" s="67" t="s">
        <v>115</v>
      </c>
      <c r="AB13" s="67" t="s">
        <v>116</v>
      </c>
      <c r="AC13" s="67" t="s">
        <v>92</v>
      </c>
    </row>
    <row r="14" spans="3:33" x14ac:dyDescent="0.25">
      <c r="C14" s="43"/>
      <c r="V14" s="68" t="s">
        <v>93</v>
      </c>
      <c r="W14" s="1">
        <v>136.51263537200632</v>
      </c>
      <c r="X14" s="1">
        <v>50.570380758034375</v>
      </c>
      <c r="Y14" s="1">
        <v>228.39375689238949</v>
      </c>
      <c r="Z14" s="1">
        <v>46.811316734643995</v>
      </c>
      <c r="AA14" s="1">
        <v>24.50605916283001</v>
      </c>
      <c r="AB14" s="1">
        <v>50.368063876443927</v>
      </c>
      <c r="AC14" s="1">
        <v>537.16221279634806</v>
      </c>
    </row>
    <row r="15" spans="3:33" x14ac:dyDescent="0.25">
      <c r="C15" s="43"/>
      <c r="D15" s="1"/>
      <c r="V15" s="68" t="s">
        <v>94</v>
      </c>
      <c r="W15" s="1">
        <v>156.88914835325841</v>
      </c>
      <c r="X15" s="1">
        <v>39.507093879051048</v>
      </c>
      <c r="Y15" s="1">
        <v>166.52873415612314</v>
      </c>
      <c r="Z15" s="1">
        <v>43.854763499117126</v>
      </c>
      <c r="AA15" s="1">
        <v>24.506059162830027</v>
      </c>
      <c r="AB15" s="1">
        <v>57.774477751314031</v>
      </c>
      <c r="AC15" s="1">
        <v>489.0602768016937</v>
      </c>
    </row>
    <row r="16" spans="3:33" x14ac:dyDescent="0.25">
      <c r="C16" s="43"/>
      <c r="V16" s="68" t="s">
        <v>95</v>
      </c>
      <c r="W16" s="1">
        <v>179.30101927157995</v>
      </c>
      <c r="X16" s="1">
        <v>42.668327546688033</v>
      </c>
      <c r="Y16" s="1">
        <v>157.96868338303173</v>
      </c>
      <c r="Z16" s="1">
        <v>38.927381749558521</v>
      </c>
      <c r="AA16" s="1">
        <v>32.677867739147203</v>
      </c>
      <c r="AB16" s="1">
        <v>60.738682600803628</v>
      </c>
      <c r="AC16" s="1">
        <v>512.28196229080913</v>
      </c>
    </row>
    <row r="17" spans="3:33" x14ac:dyDescent="0.25">
      <c r="C17" s="43"/>
      <c r="V17" s="68" t="s">
        <v>96</v>
      </c>
      <c r="W17" s="1">
        <v>167.07390109782705</v>
      </c>
      <c r="X17" s="1">
        <v>42.668010328919991</v>
      </c>
      <c r="Y17" s="1">
        <v>153.68919158121321</v>
      </c>
      <c r="Z17" s="1">
        <v>37.44977780483336</v>
      </c>
      <c r="AA17" s="1">
        <v>46.293732691255997</v>
      </c>
      <c r="AB17" s="1">
        <v>59.256580176058797</v>
      </c>
      <c r="AC17" s="1">
        <v>506.43119368010838</v>
      </c>
    </row>
    <row r="18" spans="3:33" x14ac:dyDescent="0.25">
      <c r="C18" s="82"/>
      <c r="V18" s="68" t="s">
        <v>97</v>
      </c>
      <c r="W18" s="1">
        <v>132.43809722944135</v>
      </c>
      <c r="X18" s="1">
        <v>38.190640141587402</v>
      </c>
      <c r="Y18" s="1">
        <v>143.57242515252273</v>
      </c>
      <c r="Z18" s="1">
        <v>41.88383149692563</v>
      </c>
      <c r="AA18" s="1">
        <v>49.016281243936312</v>
      </c>
      <c r="AB18" s="1">
        <v>50.368649340565888</v>
      </c>
      <c r="AC18" s="1">
        <v>455.46992460497927</v>
      </c>
    </row>
    <row r="19" spans="3:33" x14ac:dyDescent="0.25">
      <c r="C19" s="43"/>
      <c r="V19" s="68" t="s">
        <v>98</v>
      </c>
      <c r="W19" s="1">
        <v>107.98672758325512</v>
      </c>
      <c r="X19" s="1">
        <v>15.802044507200252</v>
      </c>
      <c r="Y19" s="1">
        <v>8.170960789979576</v>
      </c>
      <c r="Z19" s="1">
        <v>14.290369513605599</v>
      </c>
      <c r="AA19" s="1"/>
      <c r="AB19" s="1">
        <v>0.49354625481329201</v>
      </c>
      <c r="AC19" s="1">
        <v>146.74364864885385</v>
      </c>
    </row>
    <row r="20" spans="3:33" x14ac:dyDescent="0.25">
      <c r="V20" s="68" t="s">
        <v>99</v>
      </c>
      <c r="W20" s="1">
        <v>97.798471092629129</v>
      </c>
      <c r="X20" s="1">
        <v>16.593502838518734</v>
      </c>
      <c r="Y20" s="1">
        <v>18.676248044739481</v>
      </c>
      <c r="Z20" s="1">
        <v>14.782559201314843</v>
      </c>
      <c r="AA20" s="1"/>
      <c r="AB20" s="1"/>
      <c r="AC20" s="1">
        <v>147.85078117720221</v>
      </c>
    </row>
    <row r="21" spans="3:33" x14ac:dyDescent="0.25">
      <c r="C21" s="43"/>
      <c r="S21" s="13"/>
      <c r="T21" s="13"/>
      <c r="V21" s="69"/>
      <c r="W21" s="70">
        <v>977.99999999999727</v>
      </c>
      <c r="X21" s="70">
        <v>245.99999999999986</v>
      </c>
      <c r="Y21" s="70">
        <v>876.99999999999932</v>
      </c>
      <c r="Z21" s="70">
        <v>237.99999999999909</v>
      </c>
      <c r="AA21" s="70">
        <v>176.99999999999955</v>
      </c>
      <c r="AB21" s="70">
        <v>278.99999999999955</v>
      </c>
      <c r="AC21" s="70">
        <v>2794.9999999999945</v>
      </c>
    </row>
    <row r="22" spans="3:33" x14ac:dyDescent="0.25">
      <c r="C22" s="43"/>
    </row>
    <row r="23" spans="3:33" x14ac:dyDescent="0.25">
      <c r="C23" s="43"/>
      <c r="V23" s="67" t="s">
        <v>88</v>
      </c>
      <c r="W23" s="67" t="s">
        <v>89</v>
      </c>
      <c r="X23" s="67" t="s">
        <v>90</v>
      </c>
      <c r="Y23" s="67" t="s">
        <v>91</v>
      </c>
      <c r="Z23" s="67" t="s">
        <v>92</v>
      </c>
      <c r="AA23" s="67"/>
      <c r="AB23" s="67"/>
      <c r="AC23" s="67"/>
      <c r="AD23" s="67"/>
      <c r="AE23" s="67"/>
      <c r="AF23" s="67"/>
      <c r="AG23" s="67"/>
    </row>
    <row r="24" spans="3:33" x14ac:dyDescent="0.25">
      <c r="V24" s="68" t="s">
        <v>93</v>
      </c>
      <c r="W24" s="1">
        <v>14.788204995249856</v>
      </c>
      <c r="X24" s="1">
        <v>18.318090440117938</v>
      </c>
      <c r="Y24" s="1">
        <v>240.21313556545815</v>
      </c>
      <c r="Z24" s="1">
        <v>273.31943100082594</v>
      </c>
      <c r="AA24" s="1"/>
      <c r="AB24" s="1"/>
      <c r="AC24" s="1"/>
      <c r="AD24" s="1"/>
      <c r="AE24" s="1"/>
      <c r="AF24" s="1"/>
      <c r="AG24" s="1"/>
    </row>
    <row r="25" spans="3:33" x14ac:dyDescent="0.25">
      <c r="V25" s="68" t="s">
        <v>94</v>
      </c>
      <c r="W25" s="1">
        <v>12.323323313341675</v>
      </c>
      <c r="X25" s="1">
        <v>16.428359859473371</v>
      </c>
      <c r="Y25" s="1">
        <v>193.94057373861986</v>
      </c>
      <c r="Z25" s="1">
        <v>222.6922569114349</v>
      </c>
      <c r="AA25" s="1"/>
      <c r="AB25" s="1"/>
      <c r="AC25" s="1"/>
      <c r="AD25" s="1"/>
      <c r="AE25" s="1"/>
      <c r="AF25" s="1"/>
      <c r="AG25" s="1"/>
    </row>
    <row r="26" spans="3:33" x14ac:dyDescent="0.25">
      <c r="V26" s="68" t="s">
        <v>95</v>
      </c>
      <c r="W26" s="1">
        <v>10.679973674859122</v>
      </c>
      <c r="X26" s="1">
        <v>13.95677414826174</v>
      </c>
      <c r="Y26" s="1">
        <v>166.61646105199861</v>
      </c>
      <c r="Z26" s="1">
        <v>191.25320887511947</v>
      </c>
      <c r="AA26" s="1"/>
      <c r="AB26" s="1"/>
      <c r="AC26" s="1"/>
      <c r="AD26" s="1"/>
      <c r="AE26" s="1"/>
      <c r="AF26" s="1"/>
      <c r="AG26" s="1"/>
    </row>
    <row r="27" spans="3:33" x14ac:dyDescent="0.25">
      <c r="V27" s="68" t="s">
        <v>96</v>
      </c>
      <c r="W27" s="1">
        <v>11.501848380242356</v>
      </c>
      <c r="X27" s="1">
        <v>13.956774148261751</v>
      </c>
      <c r="Y27" s="1">
        <v>167.86425732968382</v>
      </c>
      <c r="Z27" s="1">
        <v>193.32287985818795</v>
      </c>
      <c r="AA27" s="1"/>
      <c r="AB27" s="1"/>
      <c r="AC27" s="1"/>
      <c r="AD27" s="1"/>
      <c r="AE27" s="1"/>
      <c r="AF27" s="1"/>
      <c r="AG27" s="1"/>
    </row>
    <row r="28" spans="3:33" x14ac:dyDescent="0.25">
      <c r="V28" s="68" t="s">
        <v>97</v>
      </c>
      <c r="W28" s="1">
        <v>9.9272595745915115</v>
      </c>
      <c r="X28" s="1">
        <v>11.340001403885056</v>
      </c>
      <c r="Y28" s="1">
        <v>167.15109770889245</v>
      </c>
      <c r="Z28" s="1">
        <v>188.41835868736902</v>
      </c>
      <c r="AA28" s="1"/>
      <c r="AB28" s="1"/>
      <c r="AC28" s="1"/>
      <c r="AD28" s="1"/>
      <c r="AE28" s="1"/>
      <c r="AF28" s="1"/>
      <c r="AG28" s="1"/>
    </row>
    <row r="29" spans="3:33" x14ac:dyDescent="0.25">
      <c r="V29" s="68" t="s">
        <v>98</v>
      </c>
      <c r="W29" s="1">
        <v>2.1360975335591146</v>
      </c>
      <c r="X29" s="1"/>
      <c r="Y29" s="1">
        <v>13.186305851183613</v>
      </c>
      <c r="Z29" s="1">
        <v>15.322403384742728</v>
      </c>
      <c r="AA29" s="1"/>
      <c r="AB29" s="1"/>
      <c r="AC29" s="1"/>
      <c r="AD29" s="1"/>
      <c r="AE29" s="1"/>
      <c r="AF29" s="1"/>
      <c r="AG29" s="1"/>
    </row>
    <row r="30" spans="3:33" x14ac:dyDescent="0.25">
      <c r="V30" s="68" t="s">
        <v>99</v>
      </c>
      <c r="W30" s="1">
        <v>1.6432925281562949</v>
      </c>
      <c r="X30" s="1"/>
      <c r="Y30" s="1">
        <v>15.028168754161804</v>
      </c>
      <c r="Z30" s="1">
        <v>16.671461282318099</v>
      </c>
      <c r="AA30" s="1"/>
      <c r="AB30" s="1"/>
      <c r="AC30" s="1"/>
      <c r="AD30" s="1"/>
      <c r="AE30" s="1"/>
      <c r="AF30" s="1"/>
      <c r="AG30" s="1"/>
    </row>
    <row r="31" spans="3:33" x14ac:dyDescent="0.25">
      <c r="V31" s="69"/>
      <c r="W31" s="70">
        <v>62.999999999999929</v>
      </c>
      <c r="X31" s="70">
        <v>73.999999999999858</v>
      </c>
      <c r="Y31" s="70">
        <v>963.99999999999841</v>
      </c>
      <c r="Z31" s="70">
        <v>1100.9999999999982</v>
      </c>
      <c r="AA31" s="70"/>
      <c r="AB31" s="70"/>
      <c r="AC31" s="70"/>
      <c r="AD31" s="70"/>
      <c r="AE31" s="70"/>
      <c r="AF31" s="70"/>
      <c r="AG31" s="70"/>
    </row>
    <row r="33" spans="22:34" x14ac:dyDescent="0.25">
      <c r="V33" s="7" t="s">
        <v>117</v>
      </c>
      <c r="W33" s="83" t="s">
        <v>3</v>
      </c>
      <c r="X33" s="83" t="s">
        <v>2</v>
      </c>
      <c r="Y33" s="83" t="s">
        <v>139</v>
      </c>
      <c r="Z33" s="83" t="s">
        <v>140</v>
      </c>
      <c r="AA33" s="83" t="s">
        <v>0</v>
      </c>
      <c r="AB33" s="83" t="s">
        <v>13</v>
      </c>
      <c r="AC33" s="83" t="s">
        <v>119</v>
      </c>
      <c r="AD33" s="83" t="s">
        <v>120</v>
      </c>
      <c r="AE33" s="83" t="s">
        <v>121</v>
      </c>
      <c r="AF33" s="83" t="s">
        <v>122</v>
      </c>
      <c r="AG33" s="83" t="s">
        <v>123</v>
      </c>
    </row>
    <row r="34" spans="22:34" x14ac:dyDescent="0.25">
      <c r="V34" s="7" t="s">
        <v>28</v>
      </c>
      <c r="W34" s="84">
        <f>SUM(W4:W7,W9:W10,AE4:AE7,AE9:AE10,AF4:AF7,AF9:AF10)</f>
        <v>1530.2756028814083</v>
      </c>
      <c r="X34" s="85">
        <f>AD34</f>
        <v>1816</v>
      </c>
      <c r="Y34" s="83">
        <f>SUM(Sheet2!K49,Sheet2!L49,Sheet2!Q49)/3</f>
        <v>340</v>
      </c>
      <c r="Z34" s="83">
        <f>AF34</f>
        <v>416.00000000000006</v>
      </c>
      <c r="AA34" s="86">
        <f>'Power BI'!C2</f>
        <v>0.83799404730735572</v>
      </c>
      <c r="AB34" s="83">
        <f>TIMEVALUE('Power BI'!D2)*86400</f>
        <v>19</v>
      </c>
      <c r="AC34" s="86">
        <f>'Power BI'!E2</f>
        <v>4.5999999999999999E-2</v>
      </c>
      <c r="AD34" s="83">
        <f>'Power BI'!F2</f>
        <v>1816</v>
      </c>
      <c r="AE34" s="83">
        <f>'Power BI'!G2</f>
        <v>1725</v>
      </c>
      <c r="AF34" s="83">
        <f>TIMEVALUE('Power BI'!H2) * 86400</f>
        <v>416.00000000000006</v>
      </c>
      <c r="AG34" s="83">
        <f>TIMEVALUE('Power BI'!I2)*86400</f>
        <v>26.000000000000004</v>
      </c>
      <c r="AH34" t="str">
        <f t="shared" ref="AH34:AH41" si="13">INT(AF34/60) &amp; "m" &amp; IF(MOD(AF34,60)=0,""," " &amp; TEXT(MOD(AF34,60),"00") &amp; "s")</f>
        <v>6m 56s</v>
      </c>
    </row>
    <row r="35" spans="22:34" x14ac:dyDescent="0.25">
      <c r="V35" s="7" t="s">
        <v>31</v>
      </c>
      <c r="W35" s="84">
        <f>SUM(AA4:AA7,AA9:AA10,AB4:AB7,AB9:AB10)</f>
        <v>1177.758952590774</v>
      </c>
      <c r="X35" s="85">
        <f t="shared" ref="X35:X41" si="14">AD35</f>
        <v>1233</v>
      </c>
      <c r="Y35" s="83">
        <f>SUM(Sheet2!M49,Sheet2!N49)/2</f>
        <v>420</v>
      </c>
      <c r="Z35" s="83">
        <f t="shared" ref="Z35:Z41" si="15">AF35</f>
        <v>520</v>
      </c>
      <c r="AA35" s="86">
        <f>'Power BI'!C6</f>
        <v>0.88415373244641537</v>
      </c>
      <c r="AB35" s="83">
        <f>TIMEVALUE('Power BI'!D6)*86400</f>
        <v>10.999999999999998</v>
      </c>
      <c r="AC35" s="86">
        <f>'Power BI'!E6</f>
        <v>3.0000000000000002E-2</v>
      </c>
      <c r="AD35" s="83">
        <f>'Power BI'!F6</f>
        <v>1233</v>
      </c>
      <c r="AE35" s="83">
        <f>'Power BI'!G6</f>
        <v>1194</v>
      </c>
      <c r="AF35" s="83">
        <f>TIMEVALUE('Power BI'!H6)*86400</f>
        <v>520</v>
      </c>
      <c r="AG35" s="83">
        <f>TIMEVALUE('Power BI'!I6)*86400</f>
        <v>17</v>
      </c>
      <c r="AH35" t="str">
        <f t="shared" si="13"/>
        <v>8m 40s</v>
      </c>
    </row>
    <row r="36" spans="22:34" x14ac:dyDescent="0.25">
      <c r="V36" s="7" t="s">
        <v>34</v>
      </c>
      <c r="W36" s="84">
        <f>SUM(Z4:Z7,Z9:Z10,Y4:Y7,Y9:Y10)</f>
        <v>522.02782748205436</v>
      </c>
      <c r="X36" s="85">
        <f t="shared" si="14"/>
        <v>978</v>
      </c>
      <c r="Y36" s="83">
        <f>SUM(Sheet2!O49,Sheet2!P49)/2</f>
        <v>510</v>
      </c>
      <c r="Z36" s="83">
        <f t="shared" si="15"/>
        <v>389.99999999999994</v>
      </c>
      <c r="AA36" s="86">
        <f>'Power BI'!C9</f>
        <v>0.89605796005796001</v>
      </c>
      <c r="AB36" s="83">
        <f>TIMEVALUE('Power BI'!D9)*86400</f>
        <v>14</v>
      </c>
      <c r="AC36" s="86">
        <f>'Power BI'!E9</f>
        <v>1.0999999999999999E-2</v>
      </c>
      <c r="AD36" s="83">
        <f>'Power BI'!F9</f>
        <v>978</v>
      </c>
      <c r="AE36" s="83">
        <f>'Power BI'!G9</f>
        <v>965</v>
      </c>
      <c r="AF36" s="83">
        <f>TIMEVALUE('Power BI'!H9)*86400</f>
        <v>389.99999999999994</v>
      </c>
      <c r="AG36" s="83">
        <f>TIMEVALUE('Power BI'!I9)*86400</f>
        <v>15</v>
      </c>
      <c r="AH36" t="str">
        <f t="shared" si="13"/>
        <v>6m 30s</v>
      </c>
    </row>
    <row r="37" spans="22:34" x14ac:dyDescent="0.25">
      <c r="V37" s="87" t="s">
        <v>36</v>
      </c>
      <c r="W37" s="84">
        <f>SUM(AD4:AD7,AD9:AD10)</f>
        <v>88.798764265019884</v>
      </c>
      <c r="X37" s="85">
        <f t="shared" si="14"/>
        <v>180</v>
      </c>
      <c r="Y37" s="83">
        <f>SUM(Sheet2!D49)</f>
        <v>320</v>
      </c>
      <c r="Z37" s="83">
        <f t="shared" si="15"/>
        <v>419</v>
      </c>
      <c r="AA37" s="86">
        <f>'Power BI'!C12</f>
        <v>0.8065033914979548</v>
      </c>
      <c r="AB37" s="83">
        <f>TIMEVALUE('Power BI'!D12)*86400</f>
        <v>18</v>
      </c>
      <c r="AC37" s="86">
        <f>'Power BI'!E12</f>
        <v>3.4000000000000002E-2</v>
      </c>
      <c r="AD37" s="83">
        <f>'Power BI'!F12</f>
        <v>180</v>
      </c>
      <c r="AE37" s="83">
        <f>'Power BI'!G12</f>
        <v>172</v>
      </c>
      <c r="AF37" s="83">
        <f>TIMEVALUE('Power BI'!H12)*86400</f>
        <v>419</v>
      </c>
      <c r="AG37" s="83">
        <f>TIMEVALUE('Power BI'!I12)*86400</f>
        <v>19</v>
      </c>
      <c r="AH37" t="str">
        <f t="shared" si="13"/>
        <v>6m 59s</v>
      </c>
    </row>
    <row r="38" spans="22:34" x14ac:dyDescent="0.25">
      <c r="V38" s="7" t="s">
        <v>38</v>
      </c>
      <c r="W38" s="84">
        <f>SUM(X4:X7,X9:X10)</f>
        <v>200.63472825576417</v>
      </c>
      <c r="X38" s="85">
        <f t="shared" si="14"/>
        <v>283</v>
      </c>
      <c r="Y38" s="83">
        <f>SUM(Sheet2!J49)</f>
        <v>390</v>
      </c>
      <c r="Z38" s="83">
        <f t="shared" si="15"/>
        <v>406</v>
      </c>
      <c r="AA38" s="86">
        <f>'Power BI'!C14</f>
        <v>0.96113074204946991</v>
      </c>
      <c r="AB38" s="83">
        <f>TIMEVALUE('Power BI'!D14)*86400</f>
        <v>5</v>
      </c>
      <c r="AC38" s="86">
        <f>'Power BI'!E14</f>
        <v>8.0000000000000002E-3</v>
      </c>
      <c r="AD38" s="83">
        <f>'Power BI'!F14</f>
        <v>283</v>
      </c>
      <c r="AE38" s="83">
        <f>'Power BI'!G14</f>
        <v>281</v>
      </c>
      <c r="AF38" s="83">
        <f>TIMEVALUE('Power BI'!H14)*86400</f>
        <v>406</v>
      </c>
      <c r="AG38" s="83">
        <f>TIMEVALUE('Power BI'!I14)*86400</f>
        <v>6</v>
      </c>
      <c r="AH38" t="str">
        <f t="shared" si="13"/>
        <v>6m 46s</v>
      </c>
    </row>
    <row r="39" spans="22:34" x14ac:dyDescent="0.25">
      <c r="V39" s="7" t="s">
        <v>40</v>
      </c>
      <c r="W39" s="84">
        <f>SUM(Y24:Y27,Y29:Y30)</f>
        <v>796.8489022911059</v>
      </c>
      <c r="X39" s="85">
        <f t="shared" si="14"/>
        <v>1137</v>
      </c>
      <c r="Y39" s="83">
        <f>SUM(Sheet2!B49)</f>
        <v>420</v>
      </c>
      <c r="Z39" s="83">
        <f t="shared" si="15"/>
        <v>427</v>
      </c>
      <c r="AA39" s="86">
        <f>'Power BI'!C16</f>
        <v>0.92167834132454307</v>
      </c>
      <c r="AB39" s="83">
        <f>TIMEVALUE('Power BI'!D16)*86400</f>
        <v>14</v>
      </c>
      <c r="AC39" s="86">
        <f>'Power BI'!E16</f>
        <v>4.0000000000000001E-3</v>
      </c>
      <c r="AD39" s="83">
        <f>'Power BI'!F16</f>
        <v>1137</v>
      </c>
      <c r="AE39" s="83">
        <f>'Power BI'!G16</f>
        <v>1132</v>
      </c>
      <c r="AF39" s="83">
        <f>TIMEVALUE('Power BI'!H16)*86400</f>
        <v>427</v>
      </c>
      <c r="AG39" s="83">
        <f>TIMEVALUE('Power BI'!I16)*86400</f>
        <v>14</v>
      </c>
      <c r="AH39" t="str">
        <f>INT(AF39/60) &amp; "m" &amp; IF(MOD(AF39,60)=0,""," " &amp; TEXT(MOD(AF39,60),"00") &amp; "s")</f>
        <v>7m 07s</v>
      </c>
    </row>
    <row r="40" spans="22:34" x14ac:dyDescent="0.25">
      <c r="V40" s="7" t="s">
        <v>42</v>
      </c>
      <c r="W40" s="84">
        <f>SUM(X24:X27,X29:X30)</f>
        <v>62.659998596114796</v>
      </c>
      <c r="X40" s="85">
        <f t="shared" si="14"/>
        <v>74</v>
      </c>
      <c r="Y40" s="83">
        <f>SUM(Sheet2!C49)</f>
        <v>600</v>
      </c>
      <c r="Z40" s="83">
        <f t="shared" si="15"/>
        <v>951</v>
      </c>
      <c r="AA40" s="86">
        <f>'Power BI'!C18</f>
        <v>0.85135135135135132</v>
      </c>
      <c r="AB40" s="83">
        <f>TIMEVALUE('Power BI'!D18)*86400</f>
        <v>15</v>
      </c>
      <c r="AC40" s="86">
        <f>'Power BI'!E18</f>
        <v>2.8000000000000001E-2</v>
      </c>
      <c r="AD40" s="83">
        <f>'Power BI'!F18</f>
        <v>74</v>
      </c>
      <c r="AE40" s="83">
        <f>'Power BI'!G18</f>
        <v>72</v>
      </c>
      <c r="AF40" s="83">
        <f>TIMEVALUE('Power BI'!H18)*86400</f>
        <v>951</v>
      </c>
      <c r="AG40" s="83">
        <f>TIMEVALUE('Power BI'!I18)*86400</f>
        <v>20</v>
      </c>
      <c r="AH40" t="str">
        <f t="shared" si="13"/>
        <v>15m 51s</v>
      </c>
    </row>
    <row r="41" spans="22:34" x14ac:dyDescent="0.25">
      <c r="V41" s="7" t="s">
        <v>44</v>
      </c>
      <c r="W41" s="84">
        <f>SUM(W24:W27,W29:W30)</f>
        <v>53.072740425408419</v>
      </c>
      <c r="X41" s="85">
        <f t="shared" si="14"/>
        <v>72</v>
      </c>
      <c r="Y41" s="83">
        <f>SUM(Sheet2!E49:H49)/4</f>
        <v>445</v>
      </c>
      <c r="Z41" s="83">
        <f t="shared" si="15"/>
        <v>432.99999999999994</v>
      </c>
      <c r="AA41" s="86">
        <f>'Power BI'!C20</f>
        <v>0.86111111111111116</v>
      </c>
      <c r="AB41" s="83">
        <f>TIMEVALUE('Power BI'!D20)*86400</f>
        <v>21</v>
      </c>
      <c r="AC41" s="86">
        <f>'Power BI'!E20</f>
        <v>1.3999999999999999E-2</v>
      </c>
      <c r="AD41" s="83">
        <f>'Power BI'!F20</f>
        <v>72</v>
      </c>
      <c r="AE41" s="83">
        <f>'Power BI'!G20</f>
        <v>71</v>
      </c>
      <c r="AF41" s="83">
        <f>TIMEVALUE('Power BI'!H20)*86400</f>
        <v>432.99999999999994</v>
      </c>
      <c r="AG41" s="83">
        <f>TIMEVALUE('Power BI'!I20)*86400</f>
        <v>24</v>
      </c>
      <c r="AH41" t="str">
        <f t="shared" si="13"/>
        <v>7m 13s</v>
      </c>
    </row>
    <row r="43" spans="22:34" x14ac:dyDescent="0.25">
      <c r="V43" s="43"/>
    </row>
    <row r="46" spans="22:34" x14ac:dyDescent="0.25">
      <c r="V46" s="83" t="s">
        <v>150</v>
      </c>
      <c r="W46" s="83"/>
      <c r="X46" s="83" t="s">
        <v>118</v>
      </c>
      <c r="Y46" s="83"/>
      <c r="Z46" s="83"/>
    </row>
    <row r="47" spans="22:34" x14ac:dyDescent="0.25">
      <c r="V47" s="7" t="s">
        <v>28</v>
      </c>
      <c r="W47" s="83"/>
      <c r="X47" s="86">
        <f t="shared" ref="X47:X54" si="16">(X34-W34)/W34</f>
        <v>0.18671433863324452</v>
      </c>
      <c r="Y47" s="83"/>
      <c r="Z47" s="86">
        <f t="shared" ref="Z47:Z54" si="17">(Z34-Y34)/Y34</f>
        <v>0.22352941176470606</v>
      </c>
    </row>
    <row r="48" spans="22:34" x14ac:dyDescent="0.25">
      <c r="V48" s="7" t="s">
        <v>31</v>
      </c>
      <c r="W48" s="83"/>
      <c r="X48" s="86">
        <f t="shared" si="16"/>
        <v>4.69035257916822E-2</v>
      </c>
      <c r="Y48" s="83"/>
      <c r="Z48" s="86">
        <f t="shared" si="17"/>
        <v>0.23809523809523808</v>
      </c>
    </row>
    <row r="49" spans="22:32" x14ac:dyDescent="0.25">
      <c r="V49" s="7" t="s">
        <v>34</v>
      </c>
      <c r="W49" s="83"/>
      <c r="X49" s="86">
        <f t="shared" si="16"/>
        <v>0.87346334527275848</v>
      </c>
      <c r="Y49" s="83"/>
      <c r="Z49" s="86">
        <f t="shared" si="17"/>
        <v>-0.23529411764705893</v>
      </c>
    </row>
    <row r="50" spans="22:32" x14ac:dyDescent="0.25">
      <c r="V50" s="87" t="s">
        <v>36</v>
      </c>
      <c r="W50" s="83"/>
      <c r="X50" s="86">
        <f t="shared" si="16"/>
        <v>1.0270552353948312</v>
      </c>
      <c r="Y50" s="83"/>
      <c r="Z50" s="86">
        <f t="shared" si="17"/>
        <v>0.30937500000000001</v>
      </c>
    </row>
    <row r="51" spans="22:32" x14ac:dyDescent="0.25">
      <c r="V51" s="7" t="s">
        <v>38</v>
      </c>
      <c r="W51" s="83"/>
      <c r="X51" s="86">
        <f t="shared" si="16"/>
        <v>0.41052350438174701</v>
      </c>
      <c r="Y51" s="83"/>
      <c r="Z51" s="86">
        <f t="shared" si="17"/>
        <v>4.1025641025641026E-2</v>
      </c>
    </row>
    <row r="52" spans="22:32" x14ac:dyDescent="0.25">
      <c r="V52" s="7" t="s">
        <v>40</v>
      </c>
      <c r="W52" s="83"/>
      <c r="X52" s="86">
        <f t="shared" si="16"/>
        <v>0.42687025950702717</v>
      </c>
      <c r="Y52" s="83"/>
      <c r="Z52" s="86">
        <f t="shared" si="17"/>
        <v>1.6666666666666666E-2</v>
      </c>
    </row>
    <row r="53" spans="22:32" x14ac:dyDescent="0.25">
      <c r="V53" s="7" t="s">
        <v>42</v>
      </c>
      <c r="W53" s="83"/>
      <c r="X53" s="86">
        <f t="shared" si="16"/>
        <v>0.18097672610845439</v>
      </c>
      <c r="Y53" s="83"/>
      <c r="Z53" s="86">
        <f t="shared" si="17"/>
        <v>0.58499999999999996</v>
      </c>
    </row>
    <row r="54" spans="22:32" x14ac:dyDescent="0.25">
      <c r="V54" s="7" t="s">
        <v>44</v>
      </c>
      <c r="W54" s="83"/>
      <c r="X54" s="86">
        <f t="shared" si="16"/>
        <v>0.356628646323494</v>
      </c>
      <c r="Y54" s="83"/>
      <c r="Z54" s="86">
        <f t="shared" si="17"/>
        <v>-2.696629213483159E-2</v>
      </c>
    </row>
    <row r="61" spans="22:32" x14ac:dyDescent="0.25">
      <c r="V61" s="83" t="str">
        <f>'Power BI'!Q1</f>
        <v>Date</v>
      </c>
      <c r="W61" s="83" t="str">
        <f>'Power BI'!R1</f>
        <v>SL</v>
      </c>
      <c r="X61" s="83" t="str">
        <f>'Power BI'!S1</f>
        <v>ASA</v>
      </c>
      <c r="Y61" s="83" t="str">
        <f>'Power BI'!T1</f>
        <v>Abandoned No Short %</v>
      </c>
      <c r="Z61" s="83" t="str">
        <f>'Power BI'!U1</f>
        <v>Offer</v>
      </c>
      <c r="AA61" s="83" t="s">
        <v>88</v>
      </c>
      <c r="AB61" t="s">
        <v>15</v>
      </c>
      <c r="AC61" t="s">
        <v>141</v>
      </c>
      <c r="AD61" t="s">
        <v>88</v>
      </c>
      <c r="AE61" t="s">
        <v>142</v>
      </c>
    </row>
    <row r="62" spans="22:32" x14ac:dyDescent="0.25">
      <c r="V62" s="88">
        <f>'Power BI'!Q2</f>
        <v>46123</v>
      </c>
      <c r="W62" s="97">
        <f>'Power BI'!R2</f>
        <v>0.74</v>
      </c>
      <c r="X62" s="99">
        <f>'Power BI'!S2</f>
        <v>2.6620370370370372E-4</v>
      </c>
      <c r="Y62" s="97">
        <f>'Power BI'!T2</f>
        <v>0.12</v>
      </c>
      <c r="Z62" s="99">
        <f>'Power BI'!U2</f>
        <v>240</v>
      </c>
      <c r="AA62" s="88">
        <f>'Power BI'!Y2</f>
        <v>7</v>
      </c>
      <c r="AB62" s="1">
        <f>SUM(AG9-AC9+Z29)</f>
        <v>234.81664758346054</v>
      </c>
      <c r="AC62" s="2">
        <f>(Z62-AB62)/AB62</f>
        <v>2.207404146972651E-2</v>
      </c>
      <c r="AD62" t="str">
        <f>VLOOKUP(AA62,AE62:AF68,2,0)</f>
        <v>Sat</v>
      </c>
      <c r="AE62">
        <v>7</v>
      </c>
      <c r="AF62" t="s">
        <v>143</v>
      </c>
    </row>
    <row r="63" spans="22:32" x14ac:dyDescent="0.25">
      <c r="V63" s="88">
        <f>'Power BI'!Q3</f>
        <v>46124</v>
      </c>
      <c r="W63" s="97">
        <f>'Power BI'!R3</f>
        <v>0.87</v>
      </c>
      <c r="X63" s="99">
        <f>'Power BI'!S3</f>
        <v>1.5046296296296297E-4</v>
      </c>
      <c r="Y63" s="97">
        <f>'Power BI'!T3</f>
        <v>0.03</v>
      </c>
      <c r="Z63" s="99">
        <f>'Power BI'!U3</f>
        <v>183</v>
      </c>
      <c r="AA63" s="88">
        <f>'Power BI'!Y3</f>
        <v>1</v>
      </c>
      <c r="AB63" s="1">
        <f>SUM(AG10-AC10+Z30)</f>
        <v>197.09800230632686</v>
      </c>
      <c r="AC63" s="2">
        <f t="shared" ref="AC63:AC67" si="18">(Z63-AB63)/AB63</f>
        <v>-7.1527880249217093E-2</v>
      </c>
      <c r="AD63" t="str">
        <f t="shared" ref="AD63:AD68" si="19">VLOOKUP(AA63,AE63:AF69,2,0)</f>
        <v>Sun</v>
      </c>
      <c r="AE63">
        <v>1</v>
      </c>
      <c r="AF63" t="s">
        <v>144</v>
      </c>
    </row>
    <row r="64" spans="22:32" x14ac:dyDescent="0.25">
      <c r="V64" s="88">
        <f>'Power BI'!Q4</f>
        <v>46125</v>
      </c>
      <c r="W64" s="97">
        <f>'Power BI'!R4</f>
        <v>0.83</v>
      </c>
      <c r="X64" s="99">
        <f>'Power BI'!S4</f>
        <v>2.199074074074074E-4</v>
      </c>
      <c r="Y64" s="97">
        <f>'Power BI'!T4</f>
        <v>0.03</v>
      </c>
      <c r="Z64" s="99">
        <f>'Power BI'!U4</f>
        <v>1296</v>
      </c>
      <c r="AA64" s="88">
        <f>'Power BI'!Y4</f>
        <v>2</v>
      </c>
      <c r="AB64" s="1">
        <f>SUM(AG4-AC4+Z24)</f>
        <v>1088.8008619223504</v>
      </c>
      <c r="AC64" s="2">
        <f t="shared" si="18"/>
        <v>0.19030030680892904</v>
      </c>
      <c r="AD64" t="str">
        <f t="shared" si="19"/>
        <v>Mon</v>
      </c>
      <c r="AE64">
        <v>2</v>
      </c>
      <c r="AF64" t="s">
        <v>145</v>
      </c>
    </row>
    <row r="65" spans="22:32" x14ac:dyDescent="0.25">
      <c r="V65" s="88">
        <f>'Power BI'!Q5</f>
        <v>46126</v>
      </c>
      <c r="W65" s="97">
        <f>'Power BI'!R5</f>
        <v>0.92</v>
      </c>
      <c r="X65" s="99">
        <f>'Power BI'!S5</f>
        <v>6.9444444444444444E-5</v>
      </c>
      <c r="Y65" s="97">
        <f>'Power BI'!T5</f>
        <v>0.02</v>
      </c>
      <c r="Z65" s="99">
        <f>'Power BI'!U5</f>
        <v>1069</v>
      </c>
      <c r="AA65" s="88">
        <f>'Power BI'!Y5</f>
        <v>3</v>
      </c>
      <c r="AB65" s="1">
        <f>SUM(AG5-AC5+Z25)</f>
        <v>1008.1038703834507</v>
      </c>
      <c r="AC65" s="2">
        <f t="shared" si="18"/>
        <v>6.040660234087418E-2</v>
      </c>
      <c r="AD65" t="str">
        <f t="shared" si="19"/>
        <v>Tue</v>
      </c>
      <c r="AE65">
        <v>3</v>
      </c>
      <c r="AF65" t="s">
        <v>146</v>
      </c>
    </row>
    <row r="66" spans="22:32" x14ac:dyDescent="0.25">
      <c r="V66" s="88">
        <f>'Power BI'!Q6</f>
        <v>46127</v>
      </c>
      <c r="W66" s="97">
        <f>'Power BI'!R6</f>
        <v>0.9</v>
      </c>
      <c r="X66" s="99">
        <f>'Power BI'!S6</f>
        <v>2.7777777777777778E-4</v>
      </c>
      <c r="Y66" s="97">
        <f>'Power BI'!T6</f>
        <v>0.02</v>
      </c>
      <c r="Z66" s="99">
        <f>'Power BI'!U6</f>
        <v>1053</v>
      </c>
      <c r="AA66" s="88">
        <f>'Power BI'!Y6</f>
        <v>4</v>
      </c>
      <c r="AB66" s="1">
        <f>SUM(AG6-AC6+Z26)</f>
        <v>954.20968980382213</v>
      </c>
      <c r="AC66" s="2">
        <f t="shared" si="18"/>
        <v>0.10353102808722092</v>
      </c>
      <c r="AD66" t="str">
        <f t="shared" si="19"/>
        <v>Wed</v>
      </c>
      <c r="AE66">
        <v>4</v>
      </c>
      <c r="AF66" t="s">
        <v>147</v>
      </c>
    </row>
    <row r="67" spans="22:32" x14ac:dyDescent="0.25">
      <c r="V67" s="88">
        <f>'Power BI'!Q7</f>
        <v>46128</v>
      </c>
      <c r="W67" s="97">
        <f>'Power BI'!R7</f>
        <v>0.91</v>
      </c>
      <c r="X67" s="99">
        <f>'Power BI'!S7</f>
        <v>8.1018518518518516E-5</v>
      </c>
      <c r="Y67" s="97">
        <f>'Power BI'!T7</f>
        <v>0.01</v>
      </c>
      <c r="Z67" s="99">
        <f>'Power BI'!U7</f>
        <v>1049</v>
      </c>
      <c r="AA67" s="88">
        <f>'Power BI'!Y7</f>
        <v>5</v>
      </c>
      <c r="AB67" s="1">
        <f>SUM(AG7-AC7+AC17)</f>
        <v>1262.1567586101598</v>
      </c>
      <c r="AC67" s="2">
        <f t="shared" si="18"/>
        <v>-0.16888295146862753</v>
      </c>
      <c r="AD67" t="str">
        <f t="shared" si="19"/>
        <v>Thu</v>
      </c>
      <c r="AE67">
        <v>5</v>
      </c>
      <c r="AF67" t="s">
        <v>148</v>
      </c>
    </row>
    <row r="68" spans="22:32" x14ac:dyDescent="0.25">
      <c r="V68" s="88"/>
      <c r="W68" s="97"/>
      <c r="X68" s="99"/>
      <c r="Y68" s="97"/>
      <c r="Z68" s="99"/>
      <c r="AA68" s="88"/>
      <c r="AB68" s="1">
        <f>SUM(AG8-AC8+AC18)</f>
        <v>1188.9740491299499</v>
      </c>
      <c r="AC68" s="2">
        <f>(Z68-AB68)/AB68</f>
        <v>-1</v>
      </c>
      <c r="AD68" t="e">
        <f t="shared" si="19"/>
        <v>#N/A</v>
      </c>
      <c r="AE68">
        <v>6</v>
      </c>
      <c r="AF68" t="s">
        <v>149</v>
      </c>
    </row>
    <row r="69" spans="22:32" x14ac:dyDescent="0.25">
      <c r="V69" s="88"/>
      <c r="W69" s="97"/>
      <c r="X69" s="99"/>
      <c r="Y69" s="97"/>
      <c r="Z69" s="99"/>
      <c r="AA69" s="88"/>
    </row>
  </sheetData>
  <mergeCells count="13">
    <mergeCell ref="R12:S12"/>
    <mergeCell ref="R6:S6"/>
    <mergeCell ref="R7:S7"/>
    <mergeCell ref="R8:S8"/>
    <mergeCell ref="C9:S9"/>
    <mergeCell ref="R10:S10"/>
    <mergeCell ref="R11:S11"/>
    <mergeCell ref="R5:S5"/>
    <mergeCell ref="K2:M2"/>
    <mergeCell ref="N2:P2"/>
    <mergeCell ref="R2:S2"/>
    <mergeCell ref="C3:S3"/>
    <mergeCell ref="R4:S4"/>
  </mergeCells>
  <conditionalFormatting sqref="D4:D8">
    <cfRule type="iconSet" priority="11">
      <iconSet showValue="0">
        <cfvo type="percent" val="0"/>
        <cfvo type="num" val="0.75"/>
        <cfvo type="num" val="0.8"/>
      </iconSet>
    </cfRule>
  </conditionalFormatting>
  <conditionalFormatting sqref="D10:D12">
    <cfRule type="iconSet" priority="10">
      <iconSet showValue="0">
        <cfvo type="percent" val="0"/>
        <cfvo type="num" val="0.75"/>
        <cfvo type="num" val="0.8"/>
      </iconSet>
    </cfRule>
  </conditionalFormatting>
  <conditionalFormatting sqref="F4:F8">
    <cfRule type="iconSet" priority="9">
      <iconSet showValue="0" reverse="1">
        <cfvo type="percent" val="0"/>
        <cfvo type="num" val="31"/>
        <cfvo type="num" val="36"/>
      </iconSet>
    </cfRule>
  </conditionalFormatting>
  <conditionalFormatting sqref="F10:F12">
    <cfRule type="iconSet" priority="8">
      <iconSet showValue="0" reverse="1">
        <cfvo type="percent" val="0"/>
        <cfvo type="num" val="31"/>
        <cfvo type="num" val="36"/>
      </iconSet>
    </cfRule>
  </conditionalFormatting>
  <conditionalFormatting sqref="H4:H8">
    <cfRule type="iconSet" priority="7">
      <iconSet showValue="0" reverse="1">
        <cfvo type="percent" val="0"/>
        <cfvo type="num" val="0.03"/>
        <cfvo type="num" val="0.05"/>
      </iconSet>
    </cfRule>
  </conditionalFormatting>
  <conditionalFormatting sqref="H10:H12">
    <cfRule type="iconSet" priority="6">
      <iconSet showValue="0" reverse="1">
        <cfvo type="percent" val="0"/>
        <cfvo type="num" val="0.03"/>
        <cfvo type="num" val="0.05"/>
      </iconSet>
    </cfRule>
  </conditionalFormatting>
  <conditionalFormatting sqref="K4:K8">
    <cfRule type="iconSet" priority="3">
      <iconSet showValue="0" reverse="1">
        <cfvo type="percent" val="0"/>
        <cfvo type="num" val="0.05"/>
        <cfvo type="num" val="0.1"/>
      </iconSet>
    </cfRule>
    <cfRule type="iconSet" priority="5">
      <iconSet reverse="1">
        <cfvo type="percent" val="0"/>
        <cfvo type="num" val="0.11"/>
        <cfvo type="num" val="0.2"/>
      </iconSet>
    </cfRule>
  </conditionalFormatting>
  <conditionalFormatting sqref="K10:K12">
    <cfRule type="iconSet" priority="4">
      <iconSet showValue="0" reverse="1">
        <cfvo type="percent" val="0"/>
        <cfvo type="num" val="0.33"/>
        <cfvo type="num" val="0.36"/>
      </iconSet>
    </cfRule>
  </conditionalFormatting>
  <conditionalFormatting sqref="N4:N8">
    <cfRule type="iconSet" priority="2">
      <iconSet showValue="0" reverse="1">
        <cfvo type="percent" val="0"/>
        <cfvo type="num" val="0.06"/>
        <cfvo type="num" val="0.11"/>
      </iconSet>
    </cfRule>
  </conditionalFormatting>
  <conditionalFormatting sqref="N10:N12">
    <cfRule type="iconSet" priority="1">
      <iconSet showValue="0" reverse="1">
        <cfvo type="percent" val="0"/>
        <cfvo type="num" val="0.06"/>
        <cfvo type="num" val="0.11"/>
      </iconSet>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Aneen's copy</vt:lpstr>
      <vt:lpstr>Outbound</vt:lpstr>
      <vt:lpstr>Sheet2</vt:lpstr>
      <vt:lpstr>Working File</vt:lpstr>
      <vt:lpstr>Power BI</vt:lpstr>
      <vt:lpstr>Working File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Renzie Reyes</dc:creator>
  <cp:lastModifiedBy>Renzie Reyes</cp:lastModifiedBy>
  <dcterms:created xsi:type="dcterms:W3CDTF">2026-03-29T11:42:07Z</dcterms:created>
  <dcterms:modified xsi:type="dcterms:W3CDTF">2026-04-24T06:43:20Z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36b8ab-aa19-4aaf-ade5-e13533bd462a_Enabled">
    <vt:lpwstr>true</vt:lpwstr>
  </property>
  <property fmtid="{D5CDD505-2E9C-101B-9397-08002B2CF9AE}" pid="3" name="MSIP_Label_8036b8ab-aa19-4aaf-ade5-e13533bd462a_SetDate">
    <vt:lpwstr>2026-03-29T16:27:23Z</vt:lpwstr>
  </property>
  <property fmtid="{D5CDD505-2E9C-101B-9397-08002B2CF9AE}" pid="4" name="MSIP_Label_8036b8ab-aa19-4aaf-ade5-e13533bd462a_Method">
    <vt:lpwstr>Standard</vt:lpwstr>
  </property>
  <property fmtid="{D5CDD505-2E9C-101B-9397-08002B2CF9AE}" pid="5" name="MSIP_Label_8036b8ab-aa19-4aaf-ade5-e13533bd462a_Name">
    <vt:lpwstr>Internal</vt:lpwstr>
  </property>
  <property fmtid="{D5CDD505-2E9C-101B-9397-08002B2CF9AE}" pid="6" name="MSIP_Label_8036b8ab-aa19-4aaf-ade5-e13533bd462a_SiteId">
    <vt:lpwstr>c3549632-51ee-40fe-b6ae-a69f3a6cc157</vt:lpwstr>
  </property>
  <property fmtid="{D5CDD505-2E9C-101B-9397-08002B2CF9AE}" pid="7" name="MSIP_Label_8036b8ab-aa19-4aaf-ade5-e13533bd462a_ActionId">
    <vt:lpwstr>b428e415-cab3-41a4-af25-11cf16d8d3ed</vt:lpwstr>
  </property>
  <property fmtid="{D5CDD505-2E9C-101B-9397-08002B2CF9AE}" pid="8" name="MSIP_Label_8036b8ab-aa19-4aaf-ade5-e13533bd462a_ContentBits">
    <vt:lpwstr>2</vt:lpwstr>
  </property>
  <property fmtid="{D5CDD505-2E9C-101B-9397-08002B2CF9AE}" pid="9" name="MSIP_Label_8036b8ab-aa19-4aaf-ade5-e13533bd462a_Tag">
    <vt:lpwstr>10, 3, 0, 1</vt:lpwstr>
  </property>
</Properties>
</file>